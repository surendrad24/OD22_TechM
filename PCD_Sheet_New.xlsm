
<file path=[Content_Types].xml><?xml version="1.0" encoding="utf-8"?>
<Types xmlns="http://schemas.openxmlformats.org/package/2006/content-types">
  <Default Extension="bin" ContentType="application/vnd.openxmlformats-officedocument.spreadsheetml.printerSettings"/>
  <Default Extension="jfif" ContentType="image/jpe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hidePivotFieldList="1" defaultThemeVersion="166925"/>
  <mc:AlternateContent xmlns:mc="http://schemas.openxmlformats.org/markup-compatibility/2006">
    <mc:Choice Requires="x15">
      <x15ac:absPath xmlns:x15ac="http://schemas.microsoft.com/office/spreadsheetml/2010/11/ac" url="C:\Users\Surendra\Desktop\Tech M\"/>
    </mc:Choice>
  </mc:AlternateContent>
  <xr:revisionPtr revIDLastSave="0" documentId="13_ncr:1_{C5FB43FA-646F-46BD-B207-8B98515DD986}" xr6:coauthVersionLast="38" xr6:coauthVersionMax="38" xr10:uidLastSave="{00000000-0000-0000-0000-000000000000}"/>
  <bookViews>
    <workbookView xWindow="0" yWindow="0" windowWidth="15345" windowHeight="4470" tabRatio="598" firstSheet="1" activeTab="1" xr2:uid="{00000000-000D-0000-FFFF-FFFF00000000}"/>
  </bookViews>
  <sheets>
    <sheet name="Week Wise Variance" sheetId="13" state="hidden" r:id="rId1"/>
    <sheet name="Audit Form" sheetId="3" r:id="rId2"/>
    <sheet name="Dump" sheetId="5" r:id="rId3"/>
    <sheet name="Sheet2" sheetId="11" state="hidden" r:id="rId4"/>
    <sheet name="Guidelines New" sheetId="6" r:id="rId5"/>
    <sheet name="Issue type dropdowns" sheetId="9" state="hidden" r:id="rId6"/>
    <sheet name="ZT &amp; BTL data" sheetId="8" state="hidden" r:id="rId7"/>
    <sheet name="TOV" sheetId="7" r:id="rId8"/>
    <sheet name="Scoring Form old" sheetId="1" state="hidden" r:id="rId9"/>
  </sheets>
  <definedNames>
    <definedName name="_xlnm._FilterDatabase" localSheetId="4" hidden="1">'Guidelines New'!#REF!</definedName>
    <definedName name="_xlnm._FilterDatabase" localSheetId="5" hidden="1">'Issue type dropdowns'!$B$1:$D$279</definedName>
    <definedName name="_xlnm._FilterDatabase" localSheetId="8" hidden="1">'Scoring Form old'!$A$1:$D$94</definedName>
    <definedName name="Expert1">'Audit Form'!$AC$1:$AC$3</definedName>
    <definedName name="Expert2">'Audit Form'!$AD$1:$AD$4</definedName>
    <definedName name="Expert3">'Audit Form'!$AE$1:$AE$2</definedName>
    <definedName name="INTER1">'Scoring Form old'!$C$9</definedName>
    <definedName name="INTER10">'Scoring Form old'!$C$41</definedName>
    <definedName name="INTER14">'Scoring Form old'!$C$67</definedName>
    <definedName name="INTER15">'Scoring Form old'!$C$77</definedName>
    <definedName name="INTER16">'Scoring Form old'!$C$78:$C$85</definedName>
    <definedName name="INTER3">'Scoring Form old'!$C$14:$C$15</definedName>
    <definedName name="INTER4">'Scoring Form old'!$C$18</definedName>
    <definedName name="INTER5">'Scoring Form old'!$C$21</definedName>
    <definedName name="INTER6">'Scoring Form old'!$C$26</definedName>
    <definedName name="INTER7">'Scoring Form old'!$C$27</definedName>
    <definedName name="INTER8">'Scoring Form old'!$C$32</definedName>
    <definedName name="Novice1">'Scoring Form old'!$C$2:$C$8</definedName>
    <definedName name="NOVICE10">'Scoring Form old'!$C$39:$C$40</definedName>
    <definedName name="NOVICE11">'Scoring Form old'!$C$42:$C$47</definedName>
    <definedName name="NOVICE12">'Scoring Form old'!$C$48:$C$56</definedName>
    <definedName name="NOVICE13">'Scoring Form old'!$C$57:$C$58</definedName>
    <definedName name="NOVICE14">'Scoring Form old'!$C$59:$C$66</definedName>
    <definedName name="NOVICE15">'Scoring Form old'!$C$68:$C$76</definedName>
    <definedName name="NOVICE16">'Scoring Form old'!$C$86:$C$93</definedName>
    <definedName name="NOVICE17">'Scoring Form old'!$C$94</definedName>
    <definedName name="NOVICE2">'Scoring Form old'!$C$10:$C$11</definedName>
    <definedName name="NOVICE3">'Scoring Form old'!$C$12:$C$13</definedName>
    <definedName name="NOVICE4">'Scoring Form old'!$C$16:$C$17</definedName>
    <definedName name="NOVICE5">'Scoring Form old'!$C$19:$C$20</definedName>
    <definedName name="Novice6">'Scoring Form old'!$C$22:$C$25</definedName>
    <definedName name="NOVICE7">'Scoring Form old'!$C$28:$C$31</definedName>
    <definedName name="NOVICE8">'Scoring Form old'!$C$33:$C$35</definedName>
    <definedName name="NOVICE9">'Scoring Form old'!$C$36:$C$38</definedName>
    <definedName name="Type">Table1[[#All],[Cardless Credit]]</definedName>
    <definedName name="ZTNO1">'ZT &amp; BTL data'!$B$1:$B$18</definedName>
  </definedNames>
  <calcPr calcId="179021"/>
</workbook>
</file>

<file path=xl/calcChain.xml><?xml version="1.0" encoding="utf-8"?>
<calcChain xmlns="http://schemas.openxmlformats.org/spreadsheetml/2006/main">
  <c r="G11" i="13" l="1"/>
  <c r="G10" i="13"/>
  <c r="J11" i="13"/>
  <c r="J10" i="13"/>
  <c r="M11" i="13"/>
  <c r="M10" i="13"/>
  <c r="V11" i="13"/>
  <c r="V10" i="13"/>
  <c r="J9" i="13"/>
  <c r="J8" i="13"/>
  <c r="V9" i="13"/>
  <c r="V8" i="13"/>
  <c r="G9" i="13"/>
  <c r="G8" i="13"/>
  <c r="P9" i="13"/>
  <c r="P8" i="13"/>
  <c r="S9" i="13"/>
  <c r="S8" i="13"/>
  <c r="D9" i="13"/>
  <c r="D8" i="13"/>
  <c r="M9" i="13"/>
  <c r="M8" i="13"/>
  <c r="G7" i="13"/>
  <c r="G6" i="13"/>
  <c r="P7" i="13"/>
  <c r="P6" i="13"/>
  <c r="S7" i="13"/>
  <c r="S6" i="13"/>
  <c r="D7" i="13"/>
  <c r="D6" i="13"/>
  <c r="M7" i="13"/>
  <c r="M6" i="13"/>
  <c r="V7" i="13"/>
  <c r="V6" i="13"/>
  <c r="J7" i="13"/>
  <c r="J6" i="13"/>
  <c r="N21" i="3" l="1"/>
  <c r="N20" i="3"/>
  <c r="N18" i="3"/>
  <c r="N17" i="3"/>
  <c r="N15" i="3"/>
  <c r="N14" i="3"/>
  <c r="N13" i="3"/>
  <c r="N12" i="3"/>
  <c r="N11" i="3"/>
  <c r="N10" i="3"/>
  <c r="N9" i="3"/>
  <c r="N8" i="3"/>
  <c r="N7" i="3"/>
  <c r="N5" i="3"/>
  <c r="N16" i="3" l="1"/>
  <c r="N19" i="3"/>
  <c r="N6" i="3"/>
  <c r="O21" i="3" l="1"/>
  <c r="O20" i="3"/>
  <c r="O19" i="3"/>
  <c r="O17" i="3"/>
  <c r="O16" i="3"/>
  <c r="O15" i="3"/>
  <c r="O14" i="3"/>
  <c r="O13" i="3"/>
  <c r="O12" i="3"/>
  <c r="O11" i="3"/>
  <c r="O10" i="3"/>
  <c r="F28" i="3" s="1"/>
  <c r="O7" i="3"/>
  <c r="O5" i="3"/>
  <c r="O18" i="3"/>
  <c r="O6" i="3"/>
  <c r="O8" i="3"/>
  <c r="O9" i="3"/>
  <c r="F29" i="3" l="1"/>
  <c r="F25" i="3"/>
  <c r="F24" i="3"/>
  <c r="F26" i="3"/>
  <c r="F27" i="3"/>
  <c r="F23" i="3" l="1"/>
</calcChain>
</file>

<file path=xl/sharedStrings.xml><?xml version="1.0" encoding="utf-8"?>
<sst xmlns="http://schemas.openxmlformats.org/spreadsheetml/2006/main" count="2584" uniqueCount="792">
  <si>
    <t>1.1 Did the agent follow the opening script/guidelines</t>
  </si>
  <si>
    <t>1.2 Did the agent protect the privacy of the customer</t>
  </si>
  <si>
    <t>1.4 Used apology statement ( In case of customer citing a complaint)</t>
  </si>
  <si>
    <t>1.5 Did the agent empathize with the customer ( desire to resolve customer's query)</t>
  </si>
  <si>
    <t>1.7 Did the agent demonstrate active listening skills</t>
  </si>
  <si>
    <t>1.8 Did the agent show appropriate willigness to help the customer</t>
  </si>
  <si>
    <t>Agent attempted to display willingness to help, but care was insincere / ineffective</t>
  </si>
  <si>
    <t>Provided all applicable options in the interest to help the customer</t>
  </si>
  <si>
    <t>1.9 Did the agent probe or use the tools effectively to help the customer</t>
  </si>
  <si>
    <t>Sub Attribute</t>
  </si>
  <si>
    <t>Attributes</t>
  </si>
  <si>
    <t>Uses grammatically accurate questions and responses in the respective language</t>
  </si>
  <si>
    <t>Use of abbrevations/jargons</t>
  </si>
  <si>
    <t>Provides assurances using correct phrases and terms</t>
  </si>
  <si>
    <t>Articulation of Thought</t>
  </si>
  <si>
    <t>Appropriate intonation pattern matching the tone of the conversation</t>
  </si>
  <si>
    <t>Communicates with a certain level of fluency and spontaneity.</t>
  </si>
  <si>
    <t>Provides assurances towards support wherever applicable</t>
  </si>
  <si>
    <t>1.3 Comprehension</t>
  </si>
  <si>
    <t>2.0 Attention to detail</t>
  </si>
  <si>
    <t>2.1 Did the agent adhere to Hold &amp; dead air Protocol</t>
  </si>
  <si>
    <t>2.2 Did the agent provide complete &amp; correct information (as per SOP)</t>
  </si>
  <si>
    <t>2.3 TOV</t>
  </si>
  <si>
    <t>2.4 Did the agent follow the closing script</t>
  </si>
  <si>
    <t>2.5 Did the agent tag the call appropriately (Disposition)</t>
  </si>
  <si>
    <t>2.6 Conversational Ability</t>
  </si>
  <si>
    <t>2.7 Legal Guidelines</t>
  </si>
  <si>
    <t>As per the guidelines</t>
  </si>
  <si>
    <t>Understands and responds appropriately and respectfully to emotional components behind statement. Empathy was effective and appropriate with the right spirit as and when required</t>
  </si>
  <si>
    <t xml:space="preserve">Picks up hints and cues from the customer and address them accordingly, both operational and emotional. Is aware of customer order history / incident history / order status as applicable to gain better insight </t>
  </si>
  <si>
    <t>Branded the call</t>
  </si>
  <si>
    <t>Name exchange</t>
  </si>
  <si>
    <t>Offered assistance ( How may I help you)</t>
  </si>
  <si>
    <t>Opened the call within first 5 seconds</t>
  </si>
  <si>
    <t>Checked for right time to converse ( For OB call)</t>
  </si>
  <si>
    <t>Was clear while opening, moderate rate of speech, No rushing and paused between sentences</t>
  </si>
  <si>
    <t>Verified the registered email ID</t>
  </si>
  <si>
    <t>Verified the registered contact number</t>
  </si>
  <si>
    <t>Agent explained clearly with required explanation ensuring was clear in his/her understanding about the issue</t>
  </si>
  <si>
    <t>Agent used apology statement when customer cited a concern/complaint</t>
  </si>
  <si>
    <t>Was not overapologetic on call ( Multiple times using sorry, I apologize, etc)</t>
  </si>
  <si>
    <t xml:space="preserve">Sounded genuiune and sincere in admitting with the tone of voice. </t>
  </si>
  <si>
    <t>Empathized with the customer by using empathy statements like, I understand that this is not what you expected, We really don't want our customers to go through this etc.</t>
  </si>
  <si>
    <t>Used pleasantaries like "May I", "Please", "Thank you" when required</t>
  </si>
  <si>
    <t>Agent did not make disparaging or negative comments</t>
  </si>
  <si>
    <t>Did not Interupt / talk over the customer</t>
  </si>
  <si>
    <t>Was not over empathetic on call</t>
  </si>
  <si>
    <t>Did not sound defensive or argumentative</t>
  </si>
  <si>
    <t xml:space="preserve">1.6 Did the agent sound courteous &amp; professional throughout the call </t>
  </si>
  <si>
    <t>Demonstrated interest in customer by paying attention to what customer had to say and values the same</t>
  </si>
  <si>
    <t>Customer was not made repeat information that was already provided</t>
  </si>
  <si>
    <t>Agent was not distracted ( For Ex: Was heard talking to his peers)</t>
  </si>
  <si>
    <t>No long pauses observed while responding - No delay in response i.e. more than 5 secs</t>
  </si>
  <si>
    <t>Acknowledge as required (Verbal nods) and Did not observe multiple pauses</t>
  </si>
  <si>
    <t>Agent attempted to display willingness to help and care</t>
  </si>
  <si>
    <t>Asked enough &amp; complete probing questions to understand the needs of the customer</t>
  </si>
  <si>
    <t>did not ask Irrelevant probing question</t>
  </si>
  <si>
    <t>Displayed greeting while customer reported any moment of celebration</t>
  </si>
  <si>
    <t>Noticed visible failures while the customer was expressing his concern</t>
  </si>
  <si>
    <t>Sought customer's permission before placing the call on hold</t>
  </si>
  <si>
    <t>Informed  the reason for placing on hold</t>
  </si>
  <si>
    <t>Followed hold refresh protocol</t>
  </si>
  <si>
    <t>Thanked the customer for staying on hold</t>
  </si>
  <si>
    <t>Placed the customer on hold when required ( Instead was kept on mute)</t>
  </si>
  <si>
    <t>No dead air for more than 10 secs</t>
  </si>
  <si>
    <t>Addressed all queries of the customer</t>
  </si>
  <si>
    <t>Shared complete information</t>
  </si>
  <si>
    <t>Shared correct information</t>
  </si>
  <si>
    <t>Used all available information on the tool while providing resolution</t>
  </si>
  <si>
    <t>Did not proactive escalate the customer to next desk</t>
  </si>
  <si>
    <t>Followed all troubleshooting steps as per YODA (when applicable)</t>
  </si>
  <si>
    <t>Shared correct information through mail</t>
  </si>
  <si>
    <t>Provided correct TAT</t>
  </si>
  <si>
    <t>Provided complete TAT</t>
  </si>
  <si>
    <t>Addressed customer by name at least once throughout the call ( This is exclusive from Opening)</t>
  </si>
  <si>
    <t>Did not used difficult words like, Apologized, inconvenience, Kshama etc</t>
  </si>
  <si>
    <t>Branded the call ( company name)</t>
  </si>
  <si>
    <t>Thanked the customer for their time</t>
  </si>
  <si>
    <t>Offered further assistance (if applicable)</t>
  </si>
  <si>
    <t>Documented the call with appropriate and complete notes - OCR</t>
  </si>
  <si>
    <t>Documented the call with appropriate and complete notes - 1CR</t>
  </si>
  <si>
    <t>Consultant was able to positively deny the service with justification</t>
  </si>
  <si>
    <t>Display confidence in voice</t>
  </si>
  <si>
    <t>Did not provide any conflicting information</t>
  </si>
  <si>
    <t>Was conversational to engage with the customer</t>
  </si>
  <si>
    <t>There were no multiple repetitions</t>
  </si>
  <si>
    <t>Right choice of words</t>
  </si>
  <si>
    <t>Pronounced words clearly without strong MTI/regional</t>
  </si>
  <si>
    <t>Did not use colloquial terms/slangs/</t>
  </si>
  <si>
    <t>Tagged under correct order - OCR</t>
  </si>
  <si>
    <t>Tagged in case of multiple queries - OCR</t>
  </si>
  <si>
    <t>Created incident for the call - OCR</t>
  </si>
  <si>
    <t>Took right actions as promised - OCR</t>
  </si>
  <si>
    <t>Assigned the case when it was supposed to be assigned - 1CR</t>
  </si>
  <si>
    <t>Did not assign a case which was not supposed to be assigned - 1CR</t>
  </si>
  <si>
    <t>Assigning Error - Incorrect issue / sub-issue type selected - 1CR</t>
  </si>
  <si>
    <t>Consultant was able to build customer's confidence - Rebuttal Handling</t>
  </si>
  <si>
    <t>Consultant was able to maintain the control of the conversation - Rebuttal Handling</t>
  </si>
  <si>
    <t>Score</t>
  </si>
  <si>
    <t>Overall Score</t>
  </si>
  <si>
    <t>Correct issue / sub-issue type selected - OCR</t>
  </si>
  <si>
    <t>SAP ID</t>
  </si>
  <si>
    <t>Employee Name</t>
  </si>
  <si>
    <t>First Level reporting</t>
  </si>
  <si>
    <t>Second Level reporting</t>
  </si>
  <si>
    <t>Evaluator Name</t>
  </si>
  <si>
    <t>Week</t>
  </si>
  <si>
    <t>Month</t>
  </si>
  <si>
    <t>Date of Transaction</t>
  </si>
  <si>
    <t>Date of Monitoring</t>
  </si>
  <si>
    <t>Order ID</t>
  </si>
  <si>
    <t>Call ID</t>
  </si>
  <si>
    <t>Incident ID</t>
  </si>
  <si>
    <t>AHT of call(secs)</t>
  </si>
  <si>
    <t>Actual Issue type</t>
  </si>
  <si>
    <t>Actual Sub issue type</t>
  </si>
  <si>
    <t>Actual Sub sub issue type</t>
  </si>
  <si>
    <t>Selected Issue type</t>
  </si>
  <si>
    <t>Selected Sub issue type</t>
  </si>
  <si>
    <t>Selected Sub sub issue type</t>
  </si>
  <si>
    <t>Product Category</t>
  </si>
  <si>
    <t>Language</t>
  </si>
  <si>
    <t>What / How</t>
  </si>
  <si>
    <t>What</t>
  </si>
  <si>
    <t>How</t>
  </si>
  <si>
    <t>Continues to display a calm tone of voice even if the customer sounds agitated. Sounded professional and sincere throughout the call.</t>
  </si>
  <si>
    <t>Information gained was only necessary details</t>
  </si>
  <si>
    <t>Verified the registered email ID
Verified the registered contact number</t>
  </si>
  <si>
    <t>Agent used apology statement when customer cited a concern/complaint
Was not overapologetic on call ( Multiple times using sorry, I apologize, etc)</t>
  </si>
  <si>
    <t>Empathized with the customer by using empathy statements like, I understand that this is not what you expected, We really don't want our customers to go through this etc.
Was not over empathetic on call</t>
  </si>
  <si>
    <t>Did not Interupt / talk over the customer
Agent did not make disparaging or negative comments
Did not sound defensive or argumentative
Used pleasantaries like "May I", "Please", "Thank you" when required</t>
  </si>
  <si>
    <t>Customer was not made repeat information that was already provided
Agent was not distracted ( For Ex: Was heard talking to his peers)
No long pauses observed while responding - No delay in response i.e. more than 5 secs
Acknowledge as required (Verbal nods) and Did not observe multiple pauses</t>
  </si>
  <si>
    <t>Provided all applicable options in the interest to help the customer
Agent attempted to display willingness to help and care
Provides assurances towards support wherever applicable</t>
  </si>
  <si>
    <t>Information gained was only necessary details
Asked enough &amp; complete probing questions to understand the needs of the customer
Did not ask Irrelevant probing question</t>
  </si>
  <si>
    <t>Addressed customer by name at least once throughout the call ( This is exclusive from Opening)
Did not used difficult words like, Apologized, inconvenience, Kshama etc</t>
  </si>
  <si>
    <t>Correct issue / sub-issue type selected - OCR
Tagged under correct order - OCR
Tagged in case of multiple queries - OCR
Created incident for the call - OCR
Took right actions as promised - OCR
Assigned the case when it was supposed to be assigned - 1CR
Did not assign a case which was not supposed to be assigned - 1CR
Assigning Error - Incorrect issue / sub-issue type selected - 1CR
Documented the call with appropriate and complete notes - 1CR
Documented the call with appropriate and complete notes - OCR</t>
  </si>
  <si>
    <t>Did not provide any conflicting information
Was conversational to engage with the customer
Right choice of words
There were no multiple repetitions
Uses grammatically accurate questions and responses in the respective language
Did not use colloquial terms/slangs/
Use of abbrevations/jargons
Provides assurances using correct phrases and terms</t>
  </si>
  <si>
    <t>Consultant was able to positively deny the service with justification
Consultant was able to build customer's confidence - Rebuttal Handling
Consultant was able to maintain the control of the conversation - Rebuttal Handling
Display confidence in voice
Pronounced words clearly without strong MTI/regional
Articulation of Thought
Appropriate intonation pattern matching the tone of the conversation
Communicates with a certain level of fluency and spontaneity.</t>
  </si>
  <si>
    <t>Consultant had clarity of speech which was understood by the customer
Agent explained clearly with required explanation ensuring was clear in his/her understanding about the issue</t>
  </si>
  <si>
    <t>Weight</t>
  </si>
  <si>
    <t>Rating</t>
  </si>
  <si>
    <t>Was clear while closing, moderate rate of speech, No rushing and paused between sentences</t>
  </si>
  <si>
    <t>Reasons</t>
  </si>
  <si>
    <t>Was clear while closing moderate rate of speech, No rushing and paused between sentences</t>
  </si>
  <si>
    <t>Comments</t>
  </si>
  <si>
    <t>Overall Comments</t>
  </si>
  <si>
    <t>Overall comments</t>
  </si>
  <si>
    <t>Softskills</t>
  </si>
  <si>
    <t>Resolution</t>
  </si>
  <si>
    <t>Softskills Score</t>
  </si>
  <si>
    <t>Resolution Score</t>
  </si>
  <si>
    <t>Communication Proficiency</t>
  </si>
  <si>
    <t>Compassion</t>
  </si>
  <si>
    <t>Composure</t>
  </si>
  <si>
    <t>Customer Centricity</t>
  </si>
  <si>
    <t xml:space="preserve">Displayed greeting while customer reported any moment of celebration
Noticed visible failures while the customer was expressing his concern
</t>
  </si>
  <si>
    <t>Spoke at an understandable rate of speech(moderate rate of speech)
Rephrased the information to simplify the information when customer did not understand</t>
  </si>
  <si>
    <t>Sl no</t>
  </si>
  <si>
    <t>English</t>
  </si>
  <si>
    <t>Hindi</t>
  </si>
  <si>
    <t>Trouble</t>
  </si>
  <si>
    <t>Pareshani, not musibat</t>
  </si>
  <si>
    <t>­Extra, not additional</t>
  </si>
  <si>
    <t>Zyada/Adhik, not atyaadhik</t>
  </si>
  <si>
    <t>­Tell, not advise</t>
  </si>
  <si>
    <t>Batana, not salah dena</t>
  </si>
  <si>
    <t>­You, not customer</t>
  </si>
  <si>
    <t>Aap, not grahak</t>
  </si>
  <si>
    <t>­Start, not commence</t>
  </si>
  <si>
    <t>Shuru, not prarambh</t>
  </si>
  <si>
    <t>­Fill in, not complete</t>
  </si>
  <si>
    <t>Bhariye, not purn karein</t>
  </si>
  <si>
    <t>­So, not consequently</t>
  </si>
  <si>
    <t>Isiliye, not iss prakar</t>
  </si>
  <si>
    <t>­For, not in respect of</t>
  </si>
  <si>
    <t>Ke liye, not ke sambandh mein</t>
  </si>
  <si>
    <t>­If, not in the event of</t>
  </si>
  <si>
    <t>Agar, not yadi</t>
  </si>
  <si>
    <t>­When we/you get, not on receipt</t>
  </si>
  <si>
    <t>Humein mil jayega/aapko mil jayega not prapt hona, haasil hona</t>
  </si>
  <si>
    <t>­If you ask, not on request</t>
  </si>
  <si>
    <t>Agar aap chahein, not aap ke dwara binti kiye jaane pe...</t>
  </si>
  <si>
    <t>­Details, not particulars</t>
  </si>
  <si>
    <t>Details/Jaankari, not vivaran</t>
  </si>
  <si>
    <t>­A year, not per annum</t>
  </si>
  <si>
    <t>Har saal, not prati varsh</t>
  </si>
  <si>
    <t>­Before, not prior to</t>
  </si>
  <si>
    <t>Ke pehle, not ke purv</t>
  </si>
  <si>
    <t>­About, not regarding</t>
  </si>
  <si>
    <t>Ke baare mein, not ke vishay mein</t>
  </si>
  <si>
    <t>­If you wish, not should you wish</t>
  </si>
  <si>
    <t>Agar aap chahte hain, not aapki abhilasha ho toh</t>
  </si>
  <si>
    <t>­End, not terminate</t>
  </si>
  <si>
    <t>Khatam/anth/poora hone not samapt</t>
  </si>
  <si>
    <t>Sorry</t>
  </si>
  <si>
    <t>Maafi, not kshama/khedpurn</t>
  </si>
  <si>
    <t>Assured</t>
  </si>
  <si>
    <t>Yakeen, not aashvaasan</t>
  </si>
  <si>
    <t>Based on</t>
  </si>
  <si>
    <t>Par adharit</t>
  </si>
  <si>
    <t>Delay</t>
  </si>
  <si>
    <t>Deri, not vilambh</t>
  </si>
  <si>
    <t>Since</t>
  </si>
  <si>
    <t>Kyonki, not upranth</t>
  </si>
  <si>
    <t>Definitely</t>
  </si>
  <si>
    <t>Bilkul/zaroor, not avashya</t>
  </si>
  <si>
    <t>Possible</t>
  </si>
  <si>
    <t>Mumkin, not sambhav</t>
  </si>
  <si>
    <t>Available</t>
  </si>
  <si>
    <t>Uplabdh</t>
  </si>
  <si>
    <t>While</t>
  </si>
  <si>
    <t>Haalaki, not yadapi</t>
  </si>
  <si>
    <t>Time</t>
  </si>
  <si>
    <t>Samay, not avdhi</t>
  </si>
  <si>
    <t>Purchase/Buy</t>
  </si>
  <si>
    <t>Kharidna</t>
  </si>
  <si>
    <t>Rules/guidelines</t>
  </si>
  <si>
    <t>Niyamon</t>
  </si>
  <si>
    <t>According</t>
  </si>
  <si>
    <t>Anusaar, not anuroop</t>
  </si>
  <si>
    <t>We hope</t>
  </si>
  <si>
    <t>Hum asha karte hain</t>
  </si>
  <si>
    <t>Choose</t>
  </si>
  <si>
    <t>Chunna, not iqtiyaar</t>
  </si>
  <si>
    <t>Try</t>
  </si>
  <si>
    <t>Koshish, not prayas</t>
  </si>
  <si>
    <t>Process</t>
  </si>
  <si>
    <t>Prakriya not karyavidhi</t>
  </si>
  <si>
    <t>Has been credited</t>
  </si>
  <si>
    <t>Credit kar diya gaya hai</t>
  </si>
  <si>
    <t>Security/secure</t>
  </si>
  <si>
    <t>Suraksha/surakshit</t>
  </si>
  <si>
    <t>Friends and relatives</t>
  </si>
  <si>
    <t>Dost aur rishtedaar/ parivaar ke sadsya</t>
  </si>
  <si>
    <t>Lodge a complaint</t>
  </si>
  <si>
    <t>Complaint kar sakte hai</t>
  </si>
  <si>
    <t>‘We’re sorry for the trouble</t>
  </si>
  <si>
    <t>Aapko jo pareshani hui uske liye hum maafi chahte hain</t>
  </si>
  <si>
    <t>The seller has arranged a replacement</t>
  </si>
  <si>
    <t>Seller ne replacement ki vyavastha ki hai</t>
  </si>
  <si>
    <t xml:space="preserve">We are sorry that the pickup of the item was delayed by the courier partner &lt;courier_name&gt;
</t>
  </si>
  <si>
    <t>Hum maafi chahte hain ki &lt;courier_name_&gt; courier partner ki taraf se aapke product ke pickup mein deri hui hai</t>
  </si>
  <si>
    <t>Ackowledgement : Please /Thank you</t>
  </si>
  <si>
    <t>Kripya/Dhanyavaad (or) shukriya, not kritagnya/abhari</t>
  </si>
  <si>
    <t>We’re happy to help/ we’re happy to inform you</t>
  </si>
  <si>
    <t>Hume aapki madad karne mein khushi hogi/ Hume aapko ye batate hue khushi ho rahi hai, not humein ye batate huve prassanata ho rahi hai ki...</t>
  </si>
  <si>
    <t>Thanks for letting us know</t>
  </si>
  <si>
    <t>Hume batane ke liye dhanyavaad</t>
  </si>
  <si>
    <t>Have a great day</t>
  </si>
  <si>
    <t>Aapka din shubh rahe</t>
  </si>
  <si>
    <t>You can also check your order status here!</t>
  </si>
  <si>
    <t>Aap apne order ka status yahan check kar sakte hain</t>
  </si>
  <si>
    <t>We assure you that this will be done</t>
  </si>
  <si>
    <t>Hum aapko yakeen dilate hain ki yeh ho jayega</t>
  </si>
  <si>
    <t>Seller will refund the amount to your bank account</t>
  </si>
  <si>
    <t>Seller aapke paison ko aapke bank account mein refund kar denge</t>
  </si>
  <si>
    <t>We'll look into this and get back to you in the next &lt;TAT&gt;</t>
  </si>
  <si>
    <t>Hum iske baare mein pata karke aapko agle &lt;TAT&gt; ke andar jaankaari de denge</t>
  </si>
  <si>
    <t>Your product will be delivered to you by &lt;date&gt;.</t>
  </si>
  <si>
    <t>Aapka product aapko &lt;date&gt; tak deliver kar diya jayega</t>
  </si>
  <si>
    <t xml:space="preserve">‘The seller will fulfill your return request on receipt of…’
</t>
  </si>
  <si>
    <t>....milne par seller aapka return request poora kar denge</t>
  </si>
  <si>
    <t xml:space="preserve">‘The Flipkart First subscription costs Rs. 500 per year.’
</t>
  </si>
  <si>
    <t>Flipkart First subscription ki keemat ek saal ke liye 500 rupay hogi</t>
  </si>
  <si>
    <t xml:space="preserve">The seller will ship the replacement once they receive…’
</t>
  </si>
  <si>
    <t>...seller ko mil jane par ve aapko uska repacement bhej denge</t>
  </si>
  <si>
    <t>You</t>
  </si>
  <si>
    <t>Aap, not Tum</t>
  </si>
  <si>
    <t>Empathy</t>
  </si>
  <si>
    <t>Sahaanubhooti, not anukampa</t>
  </si>
  <si>
    <t>2.8 ZT (Rude, abusive, Malpractice)</t>
  </si>
  <si>
    <t>ZT</t>
  </si>
  <si>
    <t>Consultant had clarity of speech</t>
  </si>
  <si>
    <t>Consultant had moderate rate which was understood by the customer</t>
  </si>
  <si>
    <t>Rephrased the information to simplify the information when customer did not understand</t>
  </si>
  <si>
    <t>Sought customer's permission before placing the call on hold
Informed  the reason and TAT for placing on hold
Followed hold refresh protocol
Thanked the customer for staying on hold
Placed the customer on hold when required ( Instead was kept on mute)
No dead air for more than 10 secs</t>
  </si>
  <si>
    <t>Zero Tolerance</t>
  </si>
  <si>
    <t>Agents disconnecting the calls / forceful closure / call avoidance / incorrect transfers - Multiple instances</t>
  </si>
  <si>
    <t>Consultant being rude / abusive with the customer</t>
  </si>
  <si>
    <t>Customer avoidance – Not answering customer’s calls / placing the customer on a long hold, due to which customer disconnects the call</t>
  </si>
  <si>
    <t>Being Sarcastic or Mocking the customer</t>
  </si>
  <si>
    <t>Changing customer details. For ex - Redirect the shipment to a desired party instead of the actual customer or add / change customer bank account details</t>
  </si>
  <si>
    <t>Customer details / Flipkart proprietary information being shared with external sources</t>
  </si>
  <si>
    <t>Misusing the system and system-rights for self-gain (e.g. issuing TOA to self / family etc.)</t>
  </si>
  <si>
    <t>Using unethical means to increase productivity of self / team</t>
  </si>
  <si>
    <t>Accessing customer information without business reason</t>
  </si>
  <si>
    <t>Educating the customer on the process loopholes</t>
  </si>
  <si>
    <t>Sharing credentials – credentials which can be misused (Sentinel Analytic Access, WFM CMS, Pine lab application should be excluded from the scope)</t>
  </si>
  <si>
    <t>Closing the case as solved NNR unnecessary/incorrect closure of the case</t>
  </si>
  <si>
    <t>Solve NRR cases – Avoiding the survey from going</t>
  </si>
  <si>
    <t>Incorrect assignment from L1 to KNE</t>
  </si>
  <si>
    <t>Keeping for internal followup unnecessarily –FIU &amp; WFIC</t>
  </si>
  <si>
    <t>Not pitching for survey when not solving the cases in favour of the customer</t>
  </si>
  <si>
    <t>Making amendments to Csat/RR script by demanding the customer to rate positive ( Influencing the metric</t>
  </si>
  <si>
    <t>Denying to connect to a supervisor</t>
  </si>
  <si>
    <t>Business Intelligence</t>
  </si>
  <si>
    <t>Could the call have been avoided or was not necessary</t>
  </si>
  <si>
    <t>Incorrect information provided by another department/person (please provide detail in Comments section)</t>
  </si>
  <si>
    <t>OCR</t>
  </si>
  <si>
    <t>Was the case required to be assigned to L2</t>
  </si>
  <si>
    <t>Was the call back promise adhered</t>
  </si>
  <si>
    <t>Probable escalation</t>
  </si>
  <si>
    <t>Probable repeat</t>
  </si>
  <si>
    <t>Did not identify the order details as per the script</t>
  </si>
  <si>
    <t>Did not follow the Flipkart Plus opening script</t>
  </si>
  <si>
    <t>Branded the call
Name exchange
Offered assistance ( How may I help you)
Opened the call within first 5 seconds
Checked for right time to converse ( For OB call)
Did not identify the order details as per the script
Did not follow the Flipkart Plus opening script</t>
  </si>
  <si>
    <t>Branded the call ( company name)
Thanked the customer for their time
Offered further assistance (if applicable)
Did not pitch for RR survey
Did not use the script as per guidelines-RR
Did not pitch for CSAT survey
Did not use the script as per guidelines-CSAT
Did not use the Flipkart Plus closing script</t>
  </si>
  <si>
    <t>Did not use the script as per guidelines-RR</t>
  </si>
  <si>
    <t>Did not pitch for CSAT survey</t>
  </si>
  <si>
    <t>Did not use the script as per guidelines-CSAT</t>
  </si>
  <si>
    <t>Did not use the Flipkart Plus closing script</t>
  </si>
  <si>
    <t>Did not pitch for RR survey</t>
  </si>
  <si>
    <t>Shared complete information
Addressed all queries of the customer
Provided correct TAT
Provided complete TAT
Shared correct information
Used all available information on the tool while providing resolution
Did not proactive escalate the customer to next desk
Followed all troubleshooting steps as per YODA (when applicable)
Confirmed RVP address / Primary &amp; alternate number while creating the return
Shared correct information through mail</t>
  </si>
  <si>
    <t>BTL</t>
  </si>
  <si>
    <t>L1/L2</t>
  </si>
  <si>
    <t>Was Resolution survey pitched</t>
  </si>
  <si>
    <t>IF Pitched was it effectively pitched</t>
  </si>
  <si>
    <t>Issue</t>
  </si>
  <si>
    <t>SUB Issue</t>
  </si>
  <si>
    <t>SUB Sub Issue</t>
  </si>
  <si>
    <t>Buyback Guarantee</t>
  </si>
  <si>
    <t>Customer not able to avail buyback</t>
  </si>
  <si>
    <t>Buyback Related</t>
  </si>
  <si>
    <t>Cardless Credit</t>
  </si>
  <si>
    <t>Account Related</t>
  </si>
  <si>
    <t>Account closure request</t>
  </si>
  <si>
    <t>Application Related</t>
  </si>
  <si>
    <t>Enquiry on Application Status</t>
  </si>
  <si>
    <t>How to apply? What all is required to apply?</t>
  </si>
  <si>
    <t>Unable to Submit Application</t>
  </si>
  <si>
    <t>Bill Generated issue</t>
  </si>
  <si>
    <t>Dispute with the bill generated</t>
  </si>
  <si>
    <t>Bill Generation Enquiry</t>
  </si>
  <si>
    <t>Details about the bill generation/attachment</t>
  </si>
  <si>
    <t>Duplicate bill Generation</t>
  </si>
  <si>
    <t>Bill Payment Related</t>
  </si>
  <si>
    <t>Enquiry on Partial Payment</t>
  </si>
  <si>
    <t>Enquiry about Cardless Credit</t>
  </si>
  <si>
    <t>Eligibility and credit-limit related enquiry</t>
  </si>
  <si>
    <t>General enquiry about features of Cardless Credit</t>
  </si>
  <si>
    <t>Request to add customer in Cardless Credit Program</t>
  </si>
  <si>
    <t>Enquiry on Payment related</t>
  </si>
  <si>
    <t>Enquiry on Interest charges/ Emi tenures/ late fees</t>
  </si>
  <si>
    <t>Enquiry on top up/Limits</t>
  </si>
  <si>
    <t>Limit availability and top up</t>
  </si>
  <si>
    <t>Late Payment fee Related</t>
  </si>
  <si>
    <t>Request to waive off the penalty</t>
  </si>
  <si>
    <t>Payment issues</t>
  </si>
  <si>
    <t>Payment made but amount not reflecting/multiple debit</t>
  </si>
  <si>
    <t>Drop Ship</t>
  </si>
  <si>
    <t>Cancellation Related</t>
  </si>
  <si>
    <t>Cancellation policy info post 24 hours</t>
  </si>
  <si>
    <t>Delivery Related</t>
  </si>
  <si>
    <t>Delay in Delivery</t>
  </si>
  <si>
    <t>Delivery Status</t>
  </si>
  <si>
    <t>customer is anxious about the exact status</t>
  </si>
  <si>
    <t>Installation</t>
  </si>
  <si>
    <t>Installation Not done</t>
  </si>
  <si>
    <t>Installation schedule to different date and time</t>
  </si>
  <si>
    <t>Installation/Uninstallation/Pick up</t>
  </si>
  <si>
    <t>Pre Sla</t>
  </si>
  <si>
    <t>Tech visit related issues</t>
  </si>
  <si>
    <t>Tech visit not done</t>
  </si>
  <si>
    <t>warranty/Invoice/Service Center Related</t>
  </si>
  <si>
    <t>warranty /Invoice/Service center info</t>
  </si>
  <si>
    <t>Feedback</t>
  </si>
  <si>
    <t>Contact center /CS related Feedback</t>
  </si>
  <si>
    <t>Appreciation</t>
  </si>
  <si>
    <t>Complaints</t>
  </si>
  <si>
    <t>Delivery/Wishmaster related Feedback</t>
  </si>
  <si>
    <t>Flipkart Account Related</t>
  </si>
  <si>
    <t>Account Info Change</t>
  </si>
  <si>
    <t>Change Your Account Settings</t>
  </si>
  <si>
    <t>Contact Number Change</t>
  </si>
  <si>
    <t>Email ID Change</t>
  </si>
  <si>
    <t>Account Login Issues</t>
  </si>
  <si>
    <t>Account Merged without permission</t>
  </si>
  <si>
    <t>Account unmerge request</t>
  </si>
  <si>
    <t>Change Password</t>
  </si>
  <si>
    <t>Customer is not able to log in to account</t>
  </si>
  <si>
    <t>Duplicate Account Present</t>
  </si>
  <si>
    <t>Forgot Password Link not working</t>
  </si>
  <si>
    <t>Order  details not available on My order Page</t>
  </si>
  <si>
    <t>Account Signup Issues</t>
  </si>
  <si>
    <t>Unable to create account</t>
  </si>
  <si>
    <t>Other Account Related Issues</t>
  </si>
  <si>
    <t>Account blacklisted; Customer Enquiry</t>
  </si>
  <si>
    <t>Customers getting fake offer details</t>
  </si>
  <si>
    <t>Flipkart Pay Later Billing Related</t>
  </si>
  <si>
    <t>Flipkart Pay Later - Dispute with the bill generated</t>
  </si>
  <si>
    <t>Flipkart Pay Later - Details about the bill Generation/attachment</t>
  </si>
  <si>
    <t>Flipkart Pay Later - Duplicate bill Generation</t>
  </si>
  <si>
    <t>Flipkart Pay Later - Limit availability and top up</t>
  </si>
  <si>
    <t>Flipkart Pay Later - Request to waive off the penalty</t>
  </si>
  <si>
    <t>Flipkart Pay Later - Customer not willing to make the payment (Post replacement policy)</t>
  </si>
  <si>
    <t>Flipkart Pay Later - Payment made but amount not reflecting/multiple debit</t>
  </si>
  <si>
    <t>Flipkart Pay Later/ Cardless</t>
  </si>
  <si>
    <t>Order Placement</t>
  </si>
  <si>
    <t>Unable to use Paylater / Card Less credit as payment method</t>
  </si>
  <si>
    <t>Flipkart Plus</t>
  </si>
  <si>
    <t>General Enquiry</t>
  </si>
  <si>
    <t>Enquiry about Flipkart Plus</t>
  </si>
  <si>
    <t>Enquiry about Plus zone</t>
  </si>
  <si>
    <t>Generic</t>
  </si>
  <si>
    <t xml:space="preserve">Call back </t>
  </si>
  <si>
    <t>Call drop Callback</t>
  </si>
  <si>
    <t xml:space="preserve">Language call back </t>
  </si>
  <si>
    <t>Language call back in Kannada</t>
  </si>
  <si>
    <t>Language call back in Malyalam</t>
  </si>
  <si>
    <t>Language call back in Tamil</t>
  </si>
  <si>
    <t>Language call back in Telugu</t>
  </si>
  <si>
    <t>Requested to call back with bank details</t>
  </si>
  <si>
    <t>Spam</t>
  </si>
  <si>
    <t>Blank Email/Call</t>
  </si>
  <si>
    <t>NDR Blank Call</t>
  </si>
  <si>
    <t>Spam Email/Call</t>
  </si>
  <si>
    <t>Unregistered Caller</t>
  </si>
  <si>
    <t>System issue</t>
  </si>
  <si>
    <t>System downtime - Requested  to call back</t>
  </si>
  <si>
    <t>System downtime - Routed self serve.</t>
  </si>
  <si>
    <t>Installation, Demo and other Services</t>
  </si>
  <si>
    <t>Enquiry about Seller Services</t>
  </si>
  <si>
    <t>Wanted to list/sell a product</t>
  </si>
  <si>
    <t>Enquiry about Services</t>
  </si>
  <si>
    <t>Dropshipments</t>
  </si>
  <si>
    <t>Installation/uninstalltion related info</t>
  </si>
  <si>
    <t>Replenishment Related Info</t>
  </si>
  <si>
    <t>Service center details</t>
  </si>
  <si>
    <t>MakeMy Trip Travel</t>
  </si>
  <si>
    <t>MakeMy Trip Offers related</t>
  </si>
  <si>
    <t>MakeMy Trip Offers - Queries/Issues</t>
  </si>
  <si>
    <t>MakeMy Trip Order Related</t>
  </si>
  <si>
    <t>MakeMy Trip Order - Queries/Issues</t>
  </si>
  <si>
    <t>Offers</t>
  </si>
  <si>
    <t>Deferred Cashback</t>
  </si>
  <si>
    <t>Cashback enquiry</t>
  </si>
  <si>
    <t>Freebie Related</t>
  </si>
  <si>
    <t>Freebie Warranty Related query</t>
  </si>
  <si>
    <t>Gift Card Related</t>
  </si>
  <si>
    <t>Enquiry about Gift Card disbursal</t>
  </si>
  <si>
    <t>Instant discount</t>
  </si>
  <si>
    <t>Enquiry on discount breakup</t>
  </si>
  <si>
    <t>Product Purchase Queries</t>
  </si>
  <si>
    <t>Clarification on Terms and Conditions/Offer Callout</t>
  </si>
  <si>
    <t>Enquiry on Discount break up in offers</t>
  </si>
  <si>
    <t>General Enquiry on Sale Events/ Offers</t>
  </si>
  <si>
    <t>Offer Visibility Queries</t>
  </si>
  <si>
    <t>Targeted Discount/External Coupon</t>
  </si>
  <si>
    <t>How to redeem a voucher code/TD</t>
  </si>
  <si>
    <t>Third Party Offers</t>
  </si>
  <si>
    <t>Brand is charging additional Fee</t>
  </si>
  <si>
    <t>Enquiry about status of Thirdparty offers</t>
  </si>
  <si>
    <t>Order Delivery</t>
  </si>
  <si>
    <t>Customer Requests</t>
  </si>
  <si>
    <t>Customer wants reattempt of delivery</t>
  </si>
  <si>
    <t>consumer is not able to contact FE/WM</t>
  </si>
  <si>
    <t>Customer not received the product, but got delivery confirmation message/email</t>
  </si>
  <si>
    <t>Delay in Shipping</t>
  </si>
  <si>
    <t>NDR Already Concluded</t>
  </si>
  <si>
    <t>Shipped but Misrouted</t>
  </si>
  <si>
    <t>Wishmaster gave wrong promise to consumer</t>
  </si>
  <si>
    <t>Wishmaster has not delivered the product</t>
  </si>
  <si>
    <t>Wishmaster rescheduled without consumer consent</t>
  </si>
  <si>
    <t>Details required</t>
  </si>
  <si>
    <t>FE/Delivery Boy/Person details required</t>
  </si>
  <si>
    <t>Pick up center details required</t>
  </si>
  <si>
    <t>Exchange Related Issues</t>
  </si>
  <si>
    <t>Exchange Item partially available</t>
  </si>
  <si>
    <t>Exchange Product not listed</t>
  </si>
  <si>
    <t>Exchange product not working</t>
  </si>
  <si>
    <t>Prexo Invalid Denial Validation</t>
  </si>
  <si>
    <t>Prexo Valid Denial</t>
  </si>
  <si>
    <t>Wrong IMEI entered</t>
  </si>
  <si>
    <t>Installation/demo related</t>
  </si>
  <si>
    <t>Brand charged amount for Installing</t>
  </si>
  <si>
    <t>Brand denied for Installation</t>
  </si>
  <si>
    <t>Improper Installation</t>
  </si>
  <si>
    <t>Installation Address change</t>
  </si>
  <si>
    <t>Installation appointment date breached</t>
  </si>
  <si>
    <t>Installation/Demo not done</t>
  </si>
  <si>
    <t>Re-demo</t>
  </si>
  <si>
    <t>Re-installation to different Address or same address</t>
  </si>
  <si>
    <t>Replenishment -Installation/demo not done</t>
  </si>
  <si>
    <t>Order status related</t>
  </si>
  <si>
    <t>Return on hold, order status is not updated to delivered</t>
  </si>
  <si>
    <t>Status check</t>
  </si>
  <si>
    <t>Undelivered-Delay</t>
  </si>
  <si>
    <t>Wants to know the reason of re-promise</t>
  </si>
  <si>
    <t>Wrong update provided</t>
  </si>
  <si>
    <t>POS related</t>
  </si>
  <si>
    <t>Customer requested for POS/Card swipe machine</t>
  </si>
  <si>
    <t>Multiple amount  debit through POS/Card Swipe machine</t>
  </si>
  <si>
    <t>Wishmaster did not bring the POS/card swipe machine</t>
  </si>
  <si>
    <t>Wrong amount debited through POS/Card swipe machine</t>
  </si>
  <si>
    <t>Order Modification</t>
  </si>
  <si>
    <t>Customer Requests for changes</t>
  </si>
  <si>
    <t>Address change denied</t>
  </si>
  <si>
    <t>Customer requested Address Change</t>
  </si>
  <si>
    <t>Customer requested different date, time, slot</t>
  </si>
  <si>
    <t>Customer requested to add alternate phone number</t>
  </si>
  <si>
    <t>Customer requested to gift wrap the item</t>
  </si>
  <si>
    <t>Customer Wants call before Delivery</t>
  </si>
  <si>
    <t>Customer wants delivery to some other person</t>
  </si>
  <si>
    <t>Customer wants order to ship together</t>
  </si>
  <si>
    <t>Request for different date for installation/demo</t>
  </si>
  <si>
    <t>Customer-initiated Cancellation</t>
  </si>
  <si>
    <t>Accidental cancellation</t>
  </si>
  <si>
    <t>Cancelling due to Delay in Order Delivery</t>
  </si>
  <si>
    <t>Customer wants to reinstate cancelled order</t>
  </si>
  <si>
    <t>Duplicate order / Different order placed due to System error</t>
  </si>
  <si>
    <t>Reconfirm after online cancellation</t>
  </si>
  <si>
    <t>FK Cancelled Order</t>
  </si>
  <si>
    <t>Customer not aware of cancellation</t>
  </si>
  <si>
    <t>Customer not contactable</t>
  </si>
  <si>
    <t>Damaged shipment</t>
  </si>
  <si>
    <t>Fraud - Blacklisted customer</t>
  </si>
  <si>
    <t>Fraud - Bulk order cancellation</t>
  </si>
  <si>
    <t>Fraud - Fake order</t>
  </si>
  <si>
    <t>Incomplete address</t>
  </si>
  <si>
    <t>Incorrect address</t>
  </si>
  <si>
    <t>Logistics vendor not found</t>
  </si>
  <si>
    <t>Lost shipment</t>
  </si>
  <si>
    <t>Mis-shipped item</t>
  </si>
  <si>
    <t>Not serviceable pincode</t>
  </si>
  <si>
    <t>Out of delivery area</t>
  </si>
  <si>
    <t>Out of stock</t>
  </si>
  <si>
    <t>Seller cancelled - Cannot procure item</t>
  </si>
  <si>
    <t>Shipment mis-route</t>
  </si>
  <si>
    <t>Order processing Related</t>
  </si>
  <si>
    <t>Issues during Checkout</t>
  </si>
  <si>
    <t>Item not added to the cart</t>
  </si>
  <si>
    <t>Out of stock during checkout</t>
  </si>
  <si>
    <t>Online Payment Issues</t>
  </si>
  <si>
    <t>Amount Debited Order not confirmed</t>
  </si>
  <si>
    <t>Amount debited order not placed/created</t>
  </si>
  <si>
    <t>Amount Debited twice/multiple times</t>
  </si>
  <si>
    <t>EGV not Getting Applied</t>
  </si>
  <si>
    <t>Issue with COD to prepaid conversion</t>
  </si>
  <si>
    <t>more number of items processed than attempted</t>
  </si>
  <si>
    <t>OTP Not received</t>
  </si>
  <si>
    <t>Unable to place COD Order</t>
  </si>
  <si>
    <t>Other requests</t>
  </si>
  <si>
    <t>Invoice request</t>
  </si>
  <si>
    <t>Hard copy along with seal and sign</t>
  </si>
  <si>
    <t>Soft copy</t>
  </si>
  <si>
    <t>Soft copy invoice - Archieved order</t>
  </si>
  <si>
    <t>Wants to change the billing address</t>
  </si>
  <si>
    <t>Wrong amount/Tax printed in Invoice</t>
  </si>
  <si>
    <t>Wrong IMEI Printed in invoice</t>
  </si>
  <si>
    <t>Other Enquries</t>
  </si>
  <si>
    <t>Affiliate Related</t>
  </si>
  <si>
    <t>Bulk/Corporate orders Enquiries</t>
  </si>
  <si>
    <t>Careers related</t>
  </si>
  <si>
    <t>Service Denial</t>
  </si>
  <si>
    <t>Price has been decreased after purchase</t>
  </si>
  <si>
    <t>Others</t>
  </si>
  <si>
    <t>Non Flipkart Order</t>
  </si>
  <si>
    <t>Routed to 2Gud</t>
  </si>
  <si>
    <t>Payments / Wallet</t>
  </si>
  <si>
    <t>Credit Card/EMI</t>
  </si>
  <si>
    <t>EMI Charged extra</t>
  </si>
  <si>
    <t>EMI Foreclosed</t>
  </si>
  <si>
    <t>EMI not converted - Redirect to bank</t>
  </si>
  <si>
    <t>Saved card related issues</t>
  </si>
  <si>
    <t>e-Gift Voucher</t>
  </si>
  <si>
    <t>e-Gift Voucher Usage Limit</t>
  </si>
  <si>
    <t>e-Gift Voucher/Pin Not received</t>
  </si>
  <si>
    <t>EGV</t>
  </si>
  <si>
    <t>EGV card does not exist</t>
  </si>
  <si>
    <t>Enquiry related to Wallet, EMI Usage</t>
  </si>
  <si>
    <t>EMI details, Terms and Conditions</t>
  </si>
  <si>
    <t>Enquiry about usage of wallet</t>
  </si>
  <si>
    <t>non Service/Delivery after wallet topup</t>
  </si>
  <si>
    <t>Will EMI work on Netbanking/Debit card</t>
  </si>
  <si>
    <t>FRM Related</t>
  </si>
  <si>
    <t>Unathorized/Unidentified Card Usage</t>
  </si>
  <si>
    <t>Wallet Usage Related Issues</t>
  </si>
  <si>
    <t>Fraudalent Usage</t>
  </si>
  <si>
    <t>Incorrect wallet amount reflecting</t>
  </si>
  <si>
    <t>PhonePe Recharge</t>
  </si>
  <si>
    <t>Phonepe Login Related</t>
  </si>
  <si>
    <t>Phonepe Login Queries</t>
  </si>
  <si>
    <t>Phonepe Recharge related</t>
  </si>
  <si>
    <t>Phonepe Recharge - Queries/Issues</t>
  </si>
  <si>
    <t>Exchange related</t>
  </si>
  <si>
    <t>Invalid serial entered</t>
  </si>
  <si>
    <t>Valid serial not matching</t>
  </si>
  <si>
    <t>Product Availibility</t>
  </si>
  <si>
    <t>Out of stock Enquiry</t>
  </si>
  <si>
    <t>Pre Order - Release date Enquiry</t>
  </si>
  <si>
    <t>Sellers Specific search</t>
  </si>
  <si>
    <t>Service Availability for pincodes</t>
  </si>
  <si>
    <t>Too many "not serviceable" errors shown for some product &amp; geography combination</t>
  </si>
  <si>
    <t>Too many "out of stock" views shown to customers</t>
  </si>
  <si>
    <t>Product Specific Information</t>
  </si>
  <si>
    <t>Cancellation and Return Policy info</t>
  </si>
  <si>
    <t>Compatibility with other products</t>
  </si>
  <si>
    <t>Details about accessories included with product</t>
  </si>
  <si>
    <t>Gift Wrap related  Enquries</t>
  </si>
  <si>
    <t>How to use/redeem EGV</t>
  </si>
  <si>
    <t>Image related issues</t>
  </si>
  <si>
    <t>NDD, SDD info</t>
  </si>
  <si>
    <t>Need additional information</t>
  </si>
  <si>
    <t>Payment methods available</t>
  </si>
  <si>
    <t>Price related issues</t>
  </si>
  <si>
    <t>Seller/Product Reviews Issues</t>
  </si>
  <si>
    <t>shipping Charges and Promise related</t>
  </si>
  <si>
    <t>Specifications related issues</t>
  </si>
  <si>
    <t>Warranty, gaurantee related info</t>
  </si>
  <si>
    <t>Related to Site features like ping, wish list</t>
  </si>
  <si>
    <t>Issues Related To Search and Browse</t>
  </si>
  <si>
    <t>Wish List</t>
  </si>
  <si>
    <t>Redirect to App</t>
  </si>
  <si>
    <t>Website for Self Serve</t>
  </si>
  <si>
    <t>Customer wants to cancel order</t>
  </si>
  <si>
    <t>Customer wants to create return</t>
  </si>
  <si>
    <t>Refunds</t>
  </si>
  <si>
    <t>Refund Related Enquiry</t>
  </si>
  <si>
    <t>Refund Status Enquiry</t>
  </si>
  <si>
    <t>Refund Related Issues</t>
  </si>
  <si>
    <t>Courier Charges Related Issues</t>
  </si>
  <si>
    <t>Eligible TOA not provided</t>
  </si>
  <si>
    <t>Mobile accessory issue - TOA request</t>
  </si>
  <si>
    <t>NEFT Related Issues</t>
  </si>
  <si>
    <t>Refund delay post initiation</t>
  </si>
  <si>
    <t>Refurbished</t>
  </si>
  <si>
    <t>Refurbished General Enquiry</t>
  </si>
  <si>
    <t>Refurbished - Queries/Issues</t>
  </si>
  <si>
    <t>Report Abuse, Misconduct</t>
  </si>
  <si>
    <t>Wishmaster Misconduct</t>
  </si>
  <si>
    <t>Wishmaster asked for tip</t>
  </si>
  <si>
    <t>Wishmaster did not have/give change</t>
  </si>
  <si>
    <t>Wishmaster grooming issues</t>
  </si>
  <si>
    <t>Wishmaster in a hurry</t>
  </si>
  <si>
    <t>Wishmaster refused doorstep delivery</t>
  </si>
  <si>
    <t>Report Error</t>
  </si>
  <si>
    <t>Enquiry related to Flipkart App</t>
  </si>
  <si>
    <t>Compatibility of Flipkart App with device</t>
  </si>
  <si>
    <t>How to Download Flipkart App</t>
  </si>
  <si>
    <t>Issues with Flipkart App</t>
  </si>
  <si>
    <t>App checkout Issues</t>
  </si>
  <si>
    <t>App crashing frquently</t>
  </si>
  <si>
    <t>App not loading/ retry error</t>
  </si>
  <si>
    <t>App unable to detect Internet</t>
  </si>
  <si>
    <t>Offer not getting applied on App</t>
  </si>
  <si>
    <t>Unable to post review</t>
  </si>
  <si>
    <t>Issues with Flipkart desktop/msite</t>
  </si>
  <si>
    <t>Technical error</t>
  </si>
  <si>
    <t xml:space="preserve">Returns </t>
  </si>
  <si>
    <t>Authorization Request</t>
  </si>
  <si>
    <t>Product is to not eligible for return</t>
  </si>
  <si>
    <t>Request sent for approval for policy override</t>
  </si>
  <si>
    <t>Troubleshooting provide, Return request is rejected</t>
  </si>
  <si>
    <t>Wrong product ordered</t>
  </si>
  <si>
    <t>Customer Return</t>
  </si>
  <si>
    <t>Customer Return Requested</t>
  </si>
  <si>
    <t>Customer wants to return the products</t>
  </si>
  <si>
    <t xml:space="preserve">Damaged Product Received </t>
  </si>
  <si>
    <t>Damaged Display</t>
  </si>
  <si>
    <t>Warehouse details required</t>
  </si>
  <si>
    <t xml:space="preserve">Misshipment </t>
  </si>
  <si>
    <t>Different Specification From Website</t>
  </si>
  <si>
    <t xml:space="preserve">Missing items </t>
  </si>
  <si>
    <t xml:space="preserve">Missing Product </t>
  </si>
  <si>
    <t>Replacement Related Issues</t>
  </si>
  <si>
    <t>Pick up done Repalcement pending</t>
  </si>
  <si>
    <t>Reverse Pickup Related</t>
  </si>
  <si>
    <t>Address Change request</t>
  </si>
  <si>
    <t>Customer has shipped the product, but not received at warehouse</t>
  </si>
  <si>
    <t>Customer returned incorrect item and wants it back</t>
  </si>
  <si>
    <t>Delay in Pickup</t>
  </si>
  <si>
    <t>pick up done refund pending</t>
  </si>
  <si>
    <t>Pickup done but return cancelled</t>
  </si>
  <si>
    <t>Pickup Status Enquiry</t>
  </si>
  <si>
    <t>Return status</t>
  </si>
  <si>
    <t>RTO done but not confirmed</t>
  </si>
  <si>
    <t>Wrong Item picked/Partially Picked</t>
  </si>
  <si>
    <t>Service Centres Related</t>
  </si>
  <si>
    <t>Service centre denied service / Charged / Delayed resolution</t>
  </si>
  <si>
    <t>Customer not ready to visit the service center</t>
  </si>
  <si>
    <t>Tech-visit Related</t>
  </si>
  <si>
    <t>Tech-visit appointment date breached</t>
  </si>
  <si>
    <t>Tech-visit fake update</t>
  </si>
  <si>
    <t>When Tech visit will happen</t>
  </si>
  <si>
    <t>Uninstallation Related</t>
  </si>
  <si>
    <t>Uninstallation did not happen on time</t>
  </si>
  <si>
    <t>When Uninstalltion will happen</t>
  </si>
  <si>
    <t>VAS</t>
  </si>
  <si>
    <t xml:space="preserve">Complete Protection - Large Pre-purchase Query </t>
  </si>
  <si>
    <t>VAS - Warranty, guarantee related info</t>
  </si>
  <si>
    <t>Warranty related</t>
  </si>
  <si>
    <t>Complete Protection - Dispute Related</t>
  </si>
  <si>
    <t>WM query on pickup</t>
  </si>
  <si>
    <t>Non Pickup related issues</t>
  </si>
  <si>
    <t>Proceed with Pickup</t>
  </si>
  <si>
    <t>Asked Wishmaster to Override</t>
  </si>
  <si>
    <t>Cancellation requested due to Delay in Order Delivery</t>
  </si>
  <si>
    <t>Payment - Prepaid</t>
  </si>
  <si>
    <t>Payment Awaiting</t>
  </si>
  <si>
    <t>Payment Failed</t>
  </si>
  <si>
    <t>Refund Follow-ups</t>
  </si>
  <si>
    <t>Cancellation Done - Refund Pending</t>
  </si>
  <si>
    <t>Gathered Offline Refund Details</t>
  </si>
  <si>
    <t>Returned to WH - Refund Pending</t>
  </si>
  <si>
    <t>Refund Requests (CS Raised)</t>
  </si>
  <si>
    <t>Token of Apology</t>
  </si>
  <si>
    <t>User Cancellation</t>
  </si>
  <si>
    <t>Customer doesnt want item</t>
  </si>
  <si>
    <t>Followup on existing Incident</t>
  </si>
  <si>
    <t>Return Approval</t>
  </si>
  <si>
    <t>Return cancellation Requested</t>
  </si>
  <si>
    <t>DT</t>
  </si>
  <si>
    <t xml:space="preserve"> Update Incident DT</t>
  </si>
  <si>
    <t xml:space="preserve"> Returns </t>
  </si>
  <si>
    <t>LOB</t>
  </si>
  <si>
    <t>Update Incident DT</t>
  </si>
  <si>
    <t>2.4 Did the agent follow the closing script/CSAT</t>
  </si>
  <si>
    <t>Feedback closed date</t>
  </si>
  <si>
    <t>In-Time</t>
  </si>
  <si>
    <t>Out- Time</t>
  </si>
  <si>
    <t>VOA</t>
  </si>
  <si>
    <t>Audit Date and Time</t>
  </si>
  <si>
    <t>Feedback Status (Yes/No)</t>
  </si>
  <si>
    <t>Expert</t>
  </si>
  <si>
    <t>Yes</t>
  </si>
  <si>
    <t>Novice</t>
  </si>
  <si>
    <t>Intermediate</t>
  </si>
  <si>
    <t>L1</t>
  </si>
  <si>
    <t>No</t>
  </si>
  <si>
    <t>NA</t>
  </si>
  <si>
    <t>Issue Type</t>
  </si>
  <si>
    <t>Sub Issue Type</t>
  </si>
  <si>
    <t>Sub Sub Issue</t>
  </si>
  <si>
    <t>PCD  Form  3.0</t>
  </si>
  <si>
    <t>Suneel-</t>
  </si>
  <si>
    <t>Prabhjot Singh</t>
  </si>
  <si>
    <t>Balram Batra</t>
  </si>
  <si>
    <t>Week-3</t>
  </si>
  <si>
    <t>Mobiles</t>
  </si>
  <si>
    <t>Non order</t>
  </si>
  <si>
    <t>April</t>
  </si>
  <si>
    <t>Vikrant Behal</t>
  </si>
  <si>
    <t>Kunal</t>
  </si>
  <si>
    <t>Jatin Sharma</t>
  </si>
  <si>
    <t>Kamini Thakur</t>
  </si>
  <si>
    <t>Prateek Kumar Panda</t>
  </si>
  <si>
    <t>techmc.1683456</t>
  </si>
  <si>
    <t>M</t>
  </si>
  <si>
    <t>Associate</t>
  </si>
  <si>
    <t>1100-2000</t>
  </si>
  <si>
    <t>Balram</t>
  </si>
  <si>
    <t>techmc.1683422</t>
  </si>
  <si>
    <t>Language callback telugu</t>
  </si>
  <si>
    <t>"00002101081556615339</t>
  </si>
  <si>
    <t>IN1904301440202153183</t>
  </si>
  <si>
    <t>Gramatically incorrect statements: I am sorry but only Hindi/english, should have used : I can speak in hindi and english only,</t>
  </si>
  <si>
    <t>Customer wanted the call back in Tamil, agent arrange the same, alternate number captured, call back time informed, additional help, csat,call closed
Gramatically incorrect statements: I am sorry but only Hindi/english, should have used : I can speak in hindi and english only,</t>
  </si>
  <si>
    <t>"00002098211556619401</t>
  </si>
  <si>
    <t>IN1904300854246499182</t>
  </si>
  <si>
    <t>OD115319312337282000</t>
  </si>
  <si>
    <t xml:space="preserve">Didn’t thanks the customer while confirming the name </t>
  </si>
  <si>
    <t>Fumbling over the call/Not confident over the call
Proactively language switched</t>
  </si>
  <si>
    <t xml:space="preserve">Customer wanted to know when he will get the product, agent  asked customer to wait till 7pm, additional help, csat, call closed
Proactively language switched
Didn’t thanks the customer while confirming the name 
Fumbling over the call/Not confident over the call
Clarity missing while opening
</t>
  </si>
  <si>
    <t>Clarity missing while opening</t>
  </si>
  <si>
    <t>Second level reporting</t>
  </si>
  <si>
    <t>Fransun Cherry</t>
  </si>
  <si>
    <t>Associate- Customer Support</t>
  </si>
  <si>
    <t>q</t>
  </si>
  <si>
    <t xml:space="preserve">Communication Proficiency
</t>
  </si>
  <si>
    <t xml:space="preserve">Customer called and complains about the delivery delayed, agent checked and informed customer that case escalated to team so wait till 24-48 hrs, team will provide the resolution, additional help, call dropped
Aoi:
1. </t>
  </si>
  <si>
    <t>Week2</t>
  </si>
  <si>
    <t>Nausad</t>
  </si>
  <si>
    <t xml:space="preserve">Rahul </t>
  </si>
  <si>
    <t xml:space="preserve">Aman Jain </t>
  </si>
  <si>
    <t>Week3</t>
  </si>
  <si>
    <t xml:space="preserve">Ankush </t>
  </si>
  <si>
    <t xml:space="preserve">Ansari </t>
  </si>
  <si>
    <t>Week4</t>
  </si>
  <si>
    <t xml:space="preserve">Nabanita </t>
  </si>
  <si>
    <t>Variance</t>
  </si>
  <si>
    <t xml:space="preserve">QA Name </t>
  </si>
  <si>
    <t xml:space="preserve">Adarsh Jaiswal </t>
  </si>
  <si>
    <t xml:space="preserve">Master </t>
  </si>
  <si>
    <t>Original</t>
  </si>
  <si>
    <t>Week1</t>
  </si>
  <si>
    <t>Surendra</t>
  </si>
  <si>
    <t>Sohom</t>
  </si>
  <si>
    <t>MTI, Conversation can improve.</t>
  </si>
  <si>
    <t xml:space="preserve">Overall good </t>
  </si>
  <si>
    <t>Swarup</t>
  </si>
  <si>
    <t>Anusua</t>
  </si>
  <si>
    <t>Can do better needs to improve in conversational ebility.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</si>
</sst>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35">
    <font>
      <sz val="11"/>
      <color theme="1"/>
      <name val="Calibri"/>
      <family val="2"/>
      <scheme val="minor"/>
    </font>
    <font>
      <b/>
      <sz val="10"/>
      <color rgb="FFFFFFFF"/>
      <name val="Calibri"/>
      <family val="2"/>
    </font>
    <font>
      <sz val="10"/>
      <color rgb="FF000000"/>
      <name val="Calibri"/>
      <family val="2"/>
    </font>
    <font>
      <b/>
      <sz val="10"/>
      <color rgb="FF000000"/>
      <name val="Calibri"/>
      <family val="2"/>
    </font>
    <font>
      <b/>
      <sz val="10"/>
      <color rgb="FFFF0000"/>
      <name val="Calibri"/>
      <family val="2"/>
    </font>
    <font>
      <sz val="10"/>
      <color rgb="FFFF0000"/>
      <name val="Calibri"/>
      <family val="2"/>
    </font>
    <font>
      <sz val="10"/>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0"/>
      <color rgb="FFFFFFFF"/>
      <name val="Calibri"/>
      <family val="2"/>
    </font>
    <font>
      <sz val="10"/>
      <color rgb="FF000000"/>
      <name val="Calibri"/>
      <family val="2"/>
      <scheme val="minor"/>
    </font>
    <font>
      <sz val="10"/>
      <name val="Calibri"/>
      <family val="2"/>
    </font>
    <font>
      <sz val="10"/>
      <color theme="1"/>
      <name val="Calibri"/>
      <family val="2"/>
    </font>
    <font>
      <b/>
      <sz val="14"/>
      <color theme="1"/>
      <name val="Calibri"/>
      <family val="2"/>
      <scheme val="minor"/>
    </font>
    <font>
      <sz val="12"/>
      <color rgb="FF737373"/>
      <name val="Calibri"/>
      <family val="2"/>
      <scheme val="minor"/>
    </font>
    <font>
      <sz val="10"/>
      <color theme="0"/>
      <name val="Gentium Basic"/>
    </font>
    <font>
      <b/>
      <sz val="18"/>
      <color theme="1"/>
      <name val="Calibri"/>
      <family val="2"/>
      <scheme val="minor"/>
    </font>
    <font>
      <b/>
      <sz val="10"/>
      <name val="Calibri"/>
      <family val="2"/>
      <scheme val="minor"/>
    </font>
    <font>
      <b/>
      <sz val="12"/>
      <color theme="1"/>
      <name val="Calibri"/>
      <family val="2"/>
      <scheme val="minor"/>
    </font>
    <font>
      <b/>
      <sz val="12"/>
      <color rgb="FFFFFFFF"/>
      <name val="Proxima Nova"/>
    </font>
    <font>
      <sz val="12"/>
      <color theme="1"/>
      <name val="Calibri"/>
      <family val="2"/>
      <scheme val="minor"/>
    </font>
    <font>
      <b/>
      <sz val="10"/>
      <color theme="1"/>
      <name val="Calibri"/>
      <family val="2"/>
      <scheme val="minor"/>
    </font>
    <font>
      <sz val="10"/>
      <name val="Calibri"/>
      <family val="2"/>
      <scheme val="minor"/>
    </font>
    <font>
      <b/>
      <sz val="10"/>
      <color rgb="FFFF0000"/>
      <name val="Calibri"/>
      <family val="2"/>
      <scheme val="minor"/>
    </font>
    <font>
      <b/>
      <sz val="8"/>
      <color theme="1"/>
      <name val="Calibri"/>
      <family val="2"/>
      <scheme val="minor"/>
    </font>
    <font>
      <sz val="10"/>
      <color rgb="FF3F3F3F"/>
      <name val="Arial"/>
      <family val="2"/>
    </font>
    <font>
      <sz val="11"/>
      <color rgb="FF000000"/>
      <name val="Calibri"/>
      <family val="2"/>
    </font>
    <font>
      <sz val="10"/>
      <color theme="1"/>
      <name val="Times New Roman"/>
      <family val="1"/>
    </font>
    <font>
      <sz val="9"/>
      <color rgb="FF4A4A4A"/>
      <name val="Arial"/>
      <family val="2"/>
    </font>
    <font>
      <b/>
      <sz val="9"/>
      <color theme="1"/>
      <name val="Calibri"/>
      <family val="2"/>
      <scheme val="minor"/>
    </font>
    <font>
      <sz val="9"/>
      <color theme="1"/>
      <name val="Calibri"/>
      <family val="2"/>
      <scheme val="minor"/>
    </font>
    <font>
      <sz val="10"/>
      <color theme="1"/>
      <name val="Arial"/>
      <family val="2"/>
    </font>
    <font>
      <sz val="11"/>
      <color rgb="FF3F3F3F"/>
      <name val="Arial"/>
      <family val="2"/>
    </font>
    <font>
      <sz val="9"/>
      <color theme="1"/>
      <name val="Georgia"/>
      <family val="1"/>
    </font>
  </fonts>
  <fills count="2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FFFF00"/>
        <bgColor indexed="64"/>
      </patternFill>
    </fill>
    <fill>
      <patternFill patternType="solid">
        <fgColor theme="0" tint="-0.14999847407452621"/>
        <bgColor indexed="64"/>
      </patternFill>
    </fill>
    <fill>
      <patternFill patternType="solid">
        <fgColor rgb="FF3D85C6"/>
        <bgColor indexed="64"/>
      </patternFill>
    </fill>
    <fill>
      <patternFill patternType="solid">
        <fgColor rgb="FFFFFFFF"/>
        <bgColor indexed="64"/>
      </patternFill>
    </fill>
    <fill>
      <patternFill patternType="solid">
        <fgColor theme="7" tint="0.39997558519241921"/>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rgb="FFDDEBF7"/>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medium">
        <color rgb="FF999999"/>
      </left>
      <right style="medium">
        <color rgb="FF999999"/>
      </right>
      <top/>
      <bottom style="medium">
        <color rgb="FF999999"/>
      </bottom>
      <diagonal/>
    </border>
    <border>
      <left/>
      <right style="medium">
        <color rgb="FF999999"/>
      </right>
      <top/>
      <bottom style="medium">
        <color rgb="FF99999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right style="medium">
        <color indexed="64"/>
      </right>
      <top/>
      <bottom style="medium">
        <color indexed="64"/>
      </bottom>
      <diagonal/>
    </border>
    <border>
      <left/>
      <right style="medium">
        <color indexed="64"/>
      </right>
      <top/>
      <bottom style="medium">
        <color rgb="FF000000"/>
      </bottom>
      <diagonal/>
    </border>
    <border>
      <left style="thin">
        <color indexed="64"/>
      </left>
      <right/>
      <top style="thin">
        <color indexed="64"/>
      </top>
      <bottom style="thin">
        <color indexed="64"/>
      </bottom>
      <diagonal/>
    </border>
    <border>
      <left style="thin">
        <color rgb="FF92D050"/>
      </left>
      <right style="thin">
        <color rgb="FF92D050"/>
      </right>
      <top style="thin">
        <color rgb="FF92D050"/>
      </top>
      <bottom style="thin">
        <color rgb="FF92D050"/>
      </bottom>
      <diagonal/>
    </border>
  </borders>
  <cellStyleXfs count="3">
    <xf numFmtId="0" fontId="0" fillId="0" borderId="0"/>
    <xf numFmtId="9" fontId="7" fillId="0" borderId="0" applyFont="0" applyFill="0" applyBorder="0" applyAlignment="0" applyProtection="0"/>
    <xf numFmtId="0" fontId="27" fillId="0" borderId="0" applyBorder="0"/>
  </cellStyleXfs>
  <cellXfs count="165">
    <xf numFmtId="0" fontId="0" fillId="0" borderId="0" xfId="0"/>
    <xf numFmtId="0" fontId="1" fillId="2" borderId="1" xfId="0" applyFont="1" applyFill="1" applyBorder="1" applyAlignment="1">
      <alignment horizontal="center"/>
    </xf>
    <xf numFmtId="0" fontId="6" fillId="0" borderId="0" xfId="0" applyFont="1"/>
    <xf numFmtId="0" fontId="2" fillId="0" borderId="4" xfId="0" applyFont="1" applyBorder="1" applyAlignment="1">
      <alignment horizontal="left" vertical="center" wrapText="1"/>
    </xf>
    <xf numFmtId="0" fontId="2" fillId="0" borderId="1" xfId="0" applyFont="1" applyBorder="1" applyAlignment="1">
      <alignment vertical="center" wrapText="1"/>
    </xf>
    <xf numFmtId="0" fontId="0" fillId="0" borderId="1" xfId="0" applyBorder="1" applyAlignment="1">
      <alignment horizontal="center" vertical="center"/>
    </xf>
    <xf numFmtId="0" fontId="2" fillId="0" borderId="1" xfId="0" applyFont="1" applyBorder="1" applyAlignment="1">
      <alignment horizontal="left" vertical="center" wrapText="1"/>
    </xf>
    <xf numFmtId="0" fontId="1" fillId="2" borderId="4" xfId="0" applyFont="1" applyFill="1" applyBorder="1" applyAlignment="1">
      <alignment horizontal="left"/>
    </xf>
    <xf numFmtId="0" fontId="0" fillId="0" borderId="0" xfId="0" applyAlignment="1">
      <alignment horizontal="left"/>
    </xf>
    <xf numFmtId="0" fontId="2" fillId="0" borderId="1" xfId="0" applyFont="1" applyBorder="1" applyAlignment="1">
      <alignment vertical="center"/>
    </xf>
    <xf numFmtId="0" fontId="2" fillId="0" borderId="1" xfId="0" applyFont="1" applyBorder="1" applyAlignment="1">
      <alignment horizontal="center" vertical="center" wrapText="1"/>
    </xf>
    <xf numFmtId="0" fontId="2" fillId="3" borderId="1" xfId="0" applyFont="1" applyFill="1" applyBorder="1" applyAlignment="1">
      <alignment horizontal="center" vertical="center" wrapText="1"/>
    </xf>
    <xf numFmtId="0" fontId="2" fillId="0" borderId="1" xfId="0" applyFont="1" applyBorder="1" applyAlignment="1">
      <alignment horizontal="center" vertical="center"/>
    </xf>
    <xf numFmtId="0" fontId="0" fillId="0" borderId="1" xfId="0" applyBorder="1" applyAlignment="1">
      <alignment horizontal="center" vertical="center" wrapText="1"/>
    </xf>
    <xf numFmtId="0" fontId="6" fillId="0" borderId="1" xfId="0" applyFont="1" applyBorder="1" applyAlignment="1">
      <alignment horizontal="center" vertical="center"/>
    </xf>
    <xf numFmtId="0" fontId="0" fillId="0" borderId="0" xfId="0" applyAlignment="1">
      <alignment horizontal="center" vertical="center"/>
    </xf>
    <xf numFmtId="0" fontId="2" fillId="0" borderId="2" xfId="0" applyFont="1" applyBorder="1" applyAlignment="1">
      <alignment vertical="center"/>
    </xf>
    <xf numFmtId="0" fontId="2" fillId="0" borderId="2" xfId="0" applyFont="1" applyBorder="1" applyAlignment="1">
      <alignment vertical="center" wrapText="1"/>
    </xf>
    <xf numFmtId="0" fontId="2" fillId="0" borderId="3" xfId="0" applyFont="1" applyBorder="1" applyAlignment="1">
      <alignment vertical="center" wrapText="1"/>
    </xf>
    <xf numFmtId="0" fontId="10" fillId="2" borderId="1" xfId="0" applyFont="1" applyFill="1" applyBorder="1" applyAlignment="1">
      <alignment horizontal="center"/>
    </xf>
    <xf numFmtId="0" fontId="0" fillId="0" borderId="0" xfId="0" applyFont="1" applyAlignment="1">
      <alignment horizontal="left" vertical="center"/>
    </xf>
    <xf numFmtId="0" fontId="10" fillId="2" borderId="4" xfId="0" applyFont="1" applyFill="1" applyBorder="1" applyAlignment="1">
      <alignment horizontal="left"/>
    </xf>
    <xf numFmtId="0" fontId="5" fillId="0" borderId="2" xfId="0" applyFont="1" applyBorder="1" applyAlignment="1">
      <alignment vertical="center" wrapText="1"/>
    </xf>
    <xf numFmtId="0" fontId="2" fillId="0" borderId="4" xfId="0" applyFont="1" applyBorder="1" applyAlignment="1">
      <alignment vertical="center" wrapText="1"/>
    </xf>
    <xf numFmtId="0" fontId="2" fillId="3" borderId="4" xfId="0" applyFont="1" applyFill="1" applyBorder="1" applyAlignment="1">
      <alignment vertical="center" wrapText="1"/>
    </xf>
    <xf numFmtId="0" fontId="5" fillId="0" borderId="4" xfId="0" applyFont="1" applyBorder="1" applyAlignment="1">
      <alignment vertical="center" wrapText="1"/>
    </xf>
    <xf numFmtId="0" fontId="0" fillId="0" borderId="0" xfId="0" applyFont="1" applyAlignment="1">
      <alignment horizontal="left"/>
    </xf>
    <xf numFmtId="0" fontId="5" fillId="0" borderId="1" xfId="0" applyFont="1" applyBorder="1" applyAlignment="1">
      <alignment horizontal="left" vertical="center" wrapText="1"/>
    </xf>
    <xf numFmtId="0" fontId="11" fillId="0" borderId="1" xfId="0" applyFont="1" applyBorder="1"/>
    <xf numFmtId="0" fontId="2" fillId="4" borderId="1" xfId="0" applyFont="1" applyFill="1" applyBorder="1" applyAlignment="1">
      <alignment horizontal="left" vertical="center" wrapText="1"/>
    </xf>
    <xf numFmtId="0" fontId="2" fillId="3" borderId="1" xfId="0" applyFont="1" applyFill="1" applyBorder="1" applyAlignment="1">
      <alignment horizontal="left" vertical="center" wrapText="1"/>
    </xf>
    <xf numFmtId="0" fontId="5" fillId="0" borderId="1" xfId="0" applyFont="1" applyBorder="1" applyAlignment="1">
      <alignment vertical="center" wrapText="1"/>
    </xf>
    <xf numFmtId="0" fontId="12" fillId="0" borderId="1" xfId="0" applyFont="1" applyBorder="1" applyAlignment="1">
      <alignment horizontal="left" vertical="center" wrapText="1"/>
    </xf>
    <xf numFmtId="0" fontId="6" fillId="0" borderId="1" xfId="0" applyFont="1" applyBorder="1" applyAlignment="1"/>
    <xf numFmtId="0" fontId="2" fillId="0" borderId="1" xfId="0" applyFont="1" applyBorder="1" applyAlignment="1"/>
    <xf numFmtId="0" fontId="2" fillId="0" borderId="1" xfId="0" applyFont="1" applyBorder="1" applyAlignment="1">
      <alignment horizontal="left" vertical="center"/>
    </xf>
    <xf numFmtId="0" fontId="13" fillId="0" borderId="0" xfId="0" applyFont="1"/>
    <xf numFmtId="0" fontId="8" fillId="5" borderId="1" xfId="0" applyFont="1" applyFill="1" applyBorder="1" applyAlignment="1">
      <alignment horizontal="center"/>
    </xf>
    <xf numFmtId="0" fontId="8" fillId="5" borderId="1" xfId="0" applyFont="1" applyFill="1" applyBorder="1" applyAlignment="1">
      <alignment horizontal="center" vertical="center"/>
    </xf>
    <xf numFmtId="0" fontId="13" fillId="0" borderId="1" xfId="0" applyFont="1" applyBorder="1" applyAlignment="1">
      <alignment horizontal="left" vertical="center" wrapText="1"/>
    </xf>
    <xf numFmtId="0" fontId="5" fillId="0" borderId="1" xfId="0" applyFont="1" applyBorder="1" applyAlignment="1">
      <alignment vertical="center"/>
    </xf>
    <xf numFmtId="0" fontId="2" fillId="3" borderId="1" xfId="0" applyFont="1" applyFill="1" applyBorder="1" applyAlignment="1">
      <alignment vertical="center"/>
    </xf>
    <xf numFmtId="0" fontId="8" fillId="5" borderId="1" xfId="0" applyFont="1" applyFill="1" applyBorder="1" applyAlignment="1">
      <alignment horizontal="center" vertical="center" wrapText="1"/>
    </xf>
    <xf numFmtId="0" fontId="13" fillId="0" borderId="1" xfId="0" applyFont="1" applyBorder="1" applyAlignment="1">
      <alignment vertical="center" wrapText="1"/>
    </xf>
    <xf numFmtId="0" fontId="0" fillId="0" borderId="0" xfId="0" applyAlignment="1">
      <alignment vertical="center" wrapText="1"/>
    </xf>
    <xf numFmtId="0" fontId="15" fillId="0" borderId="8" xfId="0" applyFont="1" applyBorder="1" applyAlignment="1">
      <alignment horizontal="center" vertical="center"/>
    </xf>
    <xf numFmtId="0" fontId="15" fillId="0" borderId="9" xfId="0" applyFont="1" applyBorder="1" applyAlignment="1">
      <alignment horizontal="center" vertical="center"/>
    </xf>
    <xf numFmtId="0" fontId="15" fillId="7" borderId="9" xfId="0" applyFont="1" applyFill="1" applyBorder="1" applyAlignment="1">
      <alignment horizontal="center" vertical="center"/>
    </xf>
    <xf numFmtId="0" fontId="15" fillId="0" borderId="9" xfId="0" applyFont="1" applyBorder="1" applyAlignment="1">
      <alignment horizontal="center"/>
    </xf>
    <xf numFmtId="0" fontId="15" fillId="7" borderId="9"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horizontal="center"/>
    </xf>
    <xf numFmtId="0" fontId="16" fillId="10" borderId="1" xfId="0" applyFont="1" applyFill="1" applyBorder="1" applyAlignment="1">
      <alignment horizontal="center" wrapText="1"/>
    </xf>
    <xf numFmtId="0" fontId="6" fillId="0" borderId="1" xfId="0" applyFont="1" applyBorder="1"/>
    <xf numFmtId="0" fontId="2" fillId="4" borderId="1" xfId="0" applyFont="1" applyFill="1" applyBorder="1" applyAlignment="1">
      <alignment horizontal="center" vertical="center" wrapText="1"/>
    </xf>
    <xf numFmtId="0" fontId="20" fillId="6" borderId="6" xfId="0" applyFont="1" applyFill="1" applyBorder="1" applyAlignment="1">
      <alignment horizontal="center" vertical="center"/>
    </xf>
    <xf numFmtId="0" fontId="20" fillId="6" borderId="7" xfId="0" applyFont="1" applyFill="1" applyBorder="1" applyAlignment="1">
      <alignment horizontal="center" vertical="center"/>
    </xf>
    <xf numFmtId="0" fontId="21" fillId="0" borderId="0" xfId="0" applyFont="1"/>
    <xf numFmtId="0" fontId="6" fillId="0" borderId="1" xfId="0" applyFont="1" applyBorder="1" applyAlignment="1">
      <alignment horizontal="center"/>
    </xf>
    <xf numFmtId="0" fontId="22" fillId="13" borderId="1" xfId="0" applyFont="1" applyFill="1" applyBorder="1" applyAlignment="1">
      <alignment horizontal="center"/>
    </xf>
    <xf numFmtId="0" fontId="6" fillId="9" borderId="0" xfId="0" applyFont="1" applyFill="1" applyBorder="1"/>
    <xf numFmtId="22" fontId="22" fillId="12" borderId="1" xfId="0" applyNumberFormat="1" applyFont="1" applyFill="1" applyBorder="1" applyAlignment="1" applyProtection="1">
      <alignment horizontal="center" vertical="center"/>
      <protection hidden="1"/>
    </xf>
    <xf numFmtId="0" fontId="14" fillId="0" borderId="0" xfId="0" applyFont="1" applyAlignment="1" applyProtection="1">
      <alignment horizontal="center" vertical="center"/>
      <protection locked="0"/>
    </xf>
    <xf numFmtId="9" fontId="13" fillId="0" borderId="1" xfId="1" applyFont="1" applyBorder="1" applyAlignment="1" applyProtection="1">
      <alignment horizontal="center" vertical="center"/>
      <protection locked="0"/>
    </xf>
    <xf numFmtId="10" fontId="13" fillId="0" borderId="1" xfId="1" applyNumberFormat="1" applyFont="1" applyBorder="1" applyAlignment="1" applyProtection="1">
      <alignment horizontal="center" vertical="center"/>
    </xf>
    <xf numFmtId="9" fontId="13" fillId="0" borderId="1" xfId="1" applyFont="1" applyBorder="1" applyAlignment="1" applyProtection="1">
      <alignment horizontal="center" vertical="center"/>
    </xf>
    <xf numFmtId="0" fontId="17" fillId="11" borderId="12" xfId="0" applyFont="1" applyFill="1" applyBorder="1" applyAlignment="1" applyProtection="1">
      <alignment horizontal="center" vertical="center"/>
    </xf>
    <xf numFmtId="0" fontId="25" fillId="11" borderId="10" xfId="0" applyFont="1" applyFill="1" applyBorder="1" applyAlignment="1" applyProtection="1">
      <alignment horizontal="center" vertical="center"/>
    </xf>
    <xf numFmtId="0" fontId="25" fillId="11" borderId="11" xfId="0" applyFont="1" applyFill="1" applyBorder="1" applyAlignment="1" applyProtection="1">
      <alignment horizontal="center" vertical="center"/>
    </xf>
    <xf numFmtId="0" fontId="13" fillId="0" borderId="1" xfId="0" applyFont="1" applyBorder="1" applyAlignment="1">
      <alignment horizontal="center" vertical="center" wrapText="1"/>
    </xf>
    <xf numFmtId="22" fontId="22" fillId="9" borderId="1" xfId="0" applyNumberFormat="1" applyFont="1" applyFill="1" applyBorder="1" applyAlignment="1" applyProtection="1">
      <alignment horizontal="center" vertical="center"/>
      <protection hidden="1"/>
    </xf>
    <xf numFmtId="0" fontId="22" fillId="9" borderId="1" xfId="0" applyFont="1" applyFill="1" applyBorder="1" applyAlignment="1">
      <alignment horizontal="center"/>
    </xf>
    <xf numFmtId="20" fontId="22" fillId="9" borderId="1" xfId="0" applyNumberFormat="1" applyFont="1" applyFill="1" applyBorder="1" applyAlignment="1">
      <alignment horizontal="center"/>
    </xf>
    <xf numFmtId="9" fontId="13" fillId="0" borderId="1" xfId="1" applyFont="1" applyBorder="1" applyAlignment="1">
      <alignment horizontal="center" vertical="center"/>
    </xf>
    <xf numFmtId="0" fontId="22" fillId="11" borderId="1" xfId="0" applyFont="1" applyFill="1" applyBorder="1" applyAlignment="1">
      <alignment horizontal="center"/>
    </xf>
    <xf numFmtId="14" fontId="22" fillId="9" borderId="1" xfId="0" applyNumberFormat="1" applyFont="1" applyFill="1" applyBorder="1" applyAlignment="1">
      <alignment horizontal="center"/>
    </xf>
    <xf numFmtId="9" fontId="22" fillId="9" borderId="1" xfId="0" applyNumberFormat="1" applyFont="1" applyFill="1" applyBorder="1" applyAlignment="1">
      <alignment horizontal="center"/>
    </xf>
    <xf numFmtId="0" fontId="2" fillId="7" borderId="16" xfId="0" applyFont="1" applyFill="1" applyBorder="1" applyAlignment="1">
      <alignment horizontal="center" vertical="center"/>
    </xf>
    <xf numFmtId="15" fontId="2" fillId="7" borderId="16" xfId="0" applyNumberFormat="1" applyFont="1" applyFill="1" applyBorder="1" applyAlignment="1">
      <alignment horizontal="center" vertical="center"/>
    </xf>
    <xf numFmtId="15" fontId="2" fillId="7" borderId="16" xfId="0" applyNumberFormat="1" applyFont="1" applyFill="1" applyBorder="1" applyAlignment="1">
      <alignment horizontal="center" vertical="center" wrapText="1"/>
    </xf>
    <xf numFmtId="0" fontId="6" fillId="0" borderId="0" xfId="0" applyFont="1" applyAlignment="1">
      <alignment horizontal="center"/>
    </xf>
    <xf numFmtId="0" fontId="26" fillId="0" borderId="0" xfId="0" applyFont="1" applyAlignment="1">
      <alignment horizontal="center" vertical="center" wrapText="1"/>
    </xf>
    <xf numFmtId="0" fontId="2" fillId="0" borderId="16" xfId="0" applyFont="1" applyBorder="1" applyAlignment="1">
      <alignment horizontal="center" vertical="center"/>
    </xf>
    <xf numFmtId="15" fontId="2" fillId="0" borderId="16" xfId="0" applyNumberFormat="1" applyFont="1" applyBorder="1" applyAlignment="1">
      <alignment horizontal="center" vertical="center"/>
    </xf>
    <xf numFmtId="15" fontId="3" fillId="0" borderId="16" xfId="0" applyNumberFormat="1" applyFont="1" applyBorder="1" applyAlignment="1">
      <alignment horizontal="center" vertical="center"/>
    </xf>
    <xf numFmtId="0" fontId="28" fillId="0" borderId="17" xfId="0" applyFont="1" applyBorder="1" applyAlignment="1">
      <alignment vertical="center" wrapText="1"/>
    </xf>
    <xf numFmtId="0" fontId="6" fillId="9" borderId="0" xfId="0" applyFont="1" applyFill="1" applyBorder="1" applyAlignment="1"/>
    <xf numFmtId="0" fontId="6" fillId="0" borderId="0" xfId="0" applyFont="1" applyBorder="1" applyAlignment="1"/>
    <xf numFmtId="0" fontId="0" fillId="0" borderId="1" xfId="0" applyBorder="1" applyAlignment="1"/>
    <xf numFmtId="0" fontId="0" fillId="0" borderId="0" xfId="0" applyBorder="1" applyAlignment="1"/>
    <xf numFmtId="0" fontId="18" fillId="11" borderId="1" xfId="0" applyFont="1" applyFill="1" applyBorder="1" applyAlignment="1" applyProtection="1">
      <alignment horizontal="center" vertical="center"/>
    </xf>
    <xf numFmtId="0" fontId="27" fillId="15" borderId="16" xfId="0" applyFont="1" applyFill="1" applyBorder="1" applyAlignment="1">
      <alignment horizontal="center" vertical="center"/>
    </xf>
    <xf numFmtId="0" fontId="18" fillId="11" borderId="1" xfId="0" applyFont="1" applyFill="1" applyBorder="1" applyAlignment="1" applyProtection="1">
      <alignment horizontal="center" vertical="center" wrapText="1"/>
    </xf>
    <xf numFmtId="164" fontId="22" fillId="9" borderId="1" xfId="0" applyNumberFormat="1" applyFont="1" applyFill="1" applyBorder="1" applyAlignment="1">
      <alignment horizontal="center"/>
    </xf>
    <xf numFmtId="0" fontId="22" fillId="4" borderId="1" xfId="0" applyFont="1" applyFill="1" applyBorder="1" applyAlignment="1">
      <alignment horizontal="center"/>
    </xf>
    <xf numFmtId="0" fontId="27" fillId="15" borderId="1" xfId="0" applyFont="1" applyFill="1" applyBorder="1" applyAlignment="1">
      <alignment horizontal="center" vertical="center"/>
    </xf>
    <xf numFmtId="0" fontId="22" fillId="12" borderId="1" xfId="0" applyFont="1" applyFill="1" applyBorder="1" applyAlignment="1">
      <alignment horizontal="center"/>
    </xf>
    <xf numFmtId="0" fontId="0" fillId="0" borderId="1" xfId="0" applyBorder="1"/>
    <xf numFmtId="0" fontId="22" fillId="16" borderId="1" xfId="0" applyFont="1" applyFill="1" applyBorder="1" applyAlignment="1">
      <alignment horizontal="center"/>
    </xf>
    <xf numFmtId="0" fontId="22" fillId="17" borderId="1" xfId="0" applyFont="1" applyFill="1" applyBorder="1" applyAlignment="1">
      <alignment horizontal="center"/>
    </xf>
    <xf numFmtId="0" fontId="22" fillId="18" borderId="1" xfId="0" applyFont="1" applyFill="1" applyBorder="1" applyAlignment="1">
      <alignment horizontal="center"/>
    </xf>
    <xf numFmtId="0" fontId="22" fillId="19" borderId="1" xfId="0" applyFont="1" applyFill="1" applyBorder="1" applyAlignment="1">
      <alignment horizontal="center"/>
    </xf>
    <xf numFmtId="0" fontId="30" fillId="0" borderId="1" xfId="0" applyFont="1" applyBorder="1" applyAlignment="1">
      <alignment horizontal="center"/>
    </xf>
    <xf numFmtId="0" fontId="31" fillId="0" borderId="1" xfId="0" applyFont="1" applyBorder="1" applyAlignment="1">
      <alignment horizontal="center"/>
    </xf>
    <xf numFmtId="0" fontId="22" fillId="14" borderId="1" xfId="0" applyFont="1" applyFill="1" applyBorder="1" applyAlignment="1" applyProtection="1">
      <alignment horizontal="center" vertical="center"/>
    </xf>
    <xf numFmtId="0" fontId="24" fillId="14" borderId="1" xfId="0" applyFont="1" applyFill="1" applyBorder="1" applyAlignment="1" applyProtection="1">
      <alignment horizontal="center" vertical="center"/>
    </xf>
    <xf numFmtId="0" fontId="0" fillId="0" borderId="0" xfId="0" applyAlignment="1" applyProtection="1">
      <alignment horizontal="center" vertical="center"/>
      <protection locked="0"/>
    </xf>
    <xf numFmtId="0" fontId="6" fillId="0" borderId="14" xfId="0" applyFont="1" applyBorder="1" applyAlignment="1" applyProtection="1">
      <alignment horizontal="center" vertical="center"/>
    </xf>
    <xf numFmtId="0" fontId="22" fillId="13" borderId="1" xfId="0" applyFont="1" applyFill="1" applyBorder="1" applyAlignment="1" applyProtection="1">
      <alignment horizontal="center" vertical="center"/>
    </xf>
    <xf numFmtId="0" fontId="22" fillId="13" borderId="15" xfId="0" applyFont="1" applyFill="1" applyBorder="1" applyAlignment="1" applyProtection="1">
      <alignment horizontal="center" vertical="center"/>
    </xf>
    <xf numFmtId="0" fontId="6" fillId="0" borderId="13" xfId="0" applyFont="1" applyBorder="1" applyAlignment="1" applyProtection="1">
      <alignment horizontal="center" vertical="center"/>
    </xf>
    <xf numFmtId="0" fontId="6" fillId="0" borderId="1" xfId="0" applyFont="1" applyBorder="1" applyAlignment="1" applyProtection="1">
      <alignment horizontal="center" vertical="center"/>
    </xf>
    <xf numFmtId="0" fontId="6" fillId="0" borderId="15"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9" fontId="0" fillId="0" borderId="1" xfId="1" applyFont="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xf>
    <xf numFmtId="9" fontId="8" fillId="5" borderId="1" xfId="1" applyFont="1" applyFill="1" applyBorder="1" applyAlignment="1" applyProtection="1">
      <alignment horizontal="center" vertical="center"/>
    </xf>
    <xf numFmtId="0" fontId="0" fillId="0" borderId="0" xfId="0" applyAlignment="1" applyProtection="1">
      <alignment horizontal="center" vertical="center"/>
    </xf>
    <xf numFmtId="9" fontId="8" fillId="5" borderId="1" xfId="1" applyNumberFormat="1" applyFont="1" applyFill="1" applyBorder="1" applyAlignment="1" applyProtection="1">
      <alignment horizontal="center" vertical="center"/>
    </xf>
    <xf numFmtId="0" fontId="9" fillId="12" borderId="1" xfId="0" applyFont="1" applyFill="1" applyBorder="1" applyAlignment="1" applyProtection="1">
      <alignment horizontal="center" vertical="center"/>
    </xf>
    <xf numFmtId="0" fontId="9" fillId="12" borderId="1" xfId="0" applyFont="1" applyFill="1" applyBorder="1" applyAlignment="1" applyProtection="1">
      <alignment horizontal="center" vertical="center"/>
      <protection locked="0"/>
    </xf>
    <xf numFmtId="0" fontId="6" fillId="14" borderId="1" xfId="0" applyFont="1" applyFill="1" applyBorder="1" applyAlignment="1" applyProtection="1">
      <alignment horizontal="center" vertical="center"/>
    </xf>
    <xf numFmtId="0" fontId="6" fillId="14" borderId="1"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0" fontId="0" fillId="11" borderId="11" xfId="0" applyFill="1" applyBorder="1" applyAlignment="1" applyProtection="1">
      <alignment horizontal="center" vertical="center"/>
    </xf>
    <xf numFmtId="0" fontId="29" fillId="0" borderId="0" xfId="0" applyFont="1" applyAlignment="1">
      <alignment horizontal="center" vertical="center"/>
    </xf>
    <xf numFmtId="0" fontId="2" fillId="0" borderId="1" xfId="0" applyFont="1" applyBorder="1" applyAlignment="1" applyProtection="1">
      <alignment horizontal="center" vertical="center" wrapText="1"/>
    </xf>
    <xf numFmtId="0" fontId="6" fillId="0" borderId="1" xfId="0" applyFont="1" applyBorder="1" applyAlignment="1" applyProtection="1">
      <alignment horizontal="center" vertical="center" wrapText="1"/>
      <protection locked="0"/>
    </xf>
    <xf numFmtId="0" fontId="6" fillId="0" borderId="1" xfId="0" applyFont="1" applyBorder="1" applyAlignment="1">
      <alignment horizontal="center" vertical="center" wrapText="1"/>
    </xf>
    <xf numFmtId="0" fontId="4" fillId="0" borderId="1" xfId="0" applyFont="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2" fillId="3" borderId="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xf>
    <xf numFmtId="0" fontId="6" fillId="0" borderId="4" xfId="0" applyFont="1" applyBorder="1" applyAlignment="1" applyProtection="1">
      <alignment horizontal="center" vertical="center" wrapText="1"/>
      <protection locked="0"/>
    </xf>
    <xf numFmtId="0" fontId="9" fillId="5" borderId="1" xfId="0" applyFont="1" applyFill="1" applyBorder="1" applyAlignment="1" applyProtection="1">
      <alignment horizontal="center" vertical="center"/>
    </xf>
    <xf numFmtId="0" fontId="9" fillId="5" borderId="1" xfId="0" applyFont="1" applyFill="1" applyBorder="1" applyAlignment="1" applyProtection="1">
      <alignment horizontal="center" vertical="center" wrapText="1"/>
    </xf>
    <xf numFmtId="0" fontId="23" fillId="11" borderId="1" xfId="0" applyFont="1" applyFill="1" applyBorder="1" applyAlignment="1" applyProtection="1">
      <alignment horizontal="center" vertical="center" wrapText="1"/>
      <protection locked="0"/>
    </xf>
    <xf numFmtId="0" fontId="31" fillId="0" borderId="19" xfId="0" quotePrefix="1" applyFont="1" applyBorder="1" applyAlignment="1">
      <alignment horizontal="center" vertical="center"/>
    </xf>
    <xf numFmtId="0" fontId="0" fillId="0" borderId="1" xfId="0" applyBorder="1" applyAlignment="1">
      <alignment horizontal="center"/>
    </xf>
    <xf numFmtId="0" fontId="34" fillId="0" borderId="1" xfId="0" applyFont="1" applyFill="1" applyBorder="1" applyAlignment="1">
      <alignment horizontal="center"/>
    </xf>
    <xf numFmtId="14" fontId="32" fillId="0" borderId="1" xfId="0" applyNumberFormat="1" applyFont="1" applyBorder="1" applyAlignment="1">
      <alignment horizontal="center"/>
    </xf>
    <xf numFmtId="0" fontId="6" fillId="9" borderId="1" xfId="0" applyFont="1" applyFill="1" applyBorder="1" applyAlignment="1"/>
    <xf numFmtId="0" fontId="33" fillId="0" borderId="0" xfId="0" applyFont="1"/>
    <xf numFmtId="0" fontId="8" fillId="0" borderId="18" xfId="0" applyFont="1" applyBorder="1" applyAlignment="1">
      <alignment horizontal="center"/>
    </xf>
    <xf numFmtId="0" fontId="8" fillId="0" borderId="13" xfId="0" applyFont="1" applyBorder="1" applyAlignment="1">
      <alignment horizontal="center"/>
    </xf>
    <xf numFmtId="0" fontId="8" fillId="0" borderId="4" xfId="0" applyFont="1" applyBorder="1" applyAlignment="1">
      <alignment horizontal="center"/>
    </xf>
    <xf numFmtId="0" fontId="19" fillId="0" borderId="1" xfId="0" applyFont="1" applyBorder="1" applyAlignment="1">
      <alignment horizontal="center" vertical="center" textRotation="180"/>
    </xf>
    <xf numFmtId="0" fontId="8" fillId="0" borderId="1" xfId="0" applyFont="1" applyBorder="1" applyAlignment="1">
      <alignment horizontal="center" vertical="center" textRotation="180"/>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0" fillId="0" borderId="4" xfId="0" applyBorder="1" applyAlignment="1">
      <alignment horizontal="left" vertical="center" wrapText="1"/>
    </xf>
    <xf numFmtId="0" fontId="3" fillId="3" borderId="4" xfId="0" applyFont="1" applyFill="1" applyBorder="1" applyAlignment="1">
      <alignment horizontal="left" vertical="center" wrapText="1"/>
    </xf>
    <xf numFmtId="0" fontId="4" fillId="0" borderId="4" xfId="0" applyFont="1" applyBorder="1" applyAlignment="1">
      <alignment horizontal="left" vertical="center" wrapText="1"/>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5" xfId="0" applyFont="1" applyBorder="1" applyAlignment="1">
      <alignment horizontal="left" vertical="center" wrapText="1"/>
    </xf>
  </cellXfs>
  <cellStyles count="3">
    <cellStyle name="Normal" xfId="0" builtinId="0"/>
    <cellStyle name="Normal 2" xfId="2" xr:uid="{00000000-0005-0000-0000-000001000000}"/>
    <cellStyle name="Percent" xfId="1" builtinId="5"/>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gradientFill degree="90">
          <stop position="0">
            <color theme="0"/>
          </stop>
          <stop position="0.5">
            <color rgb="FFFF0000"/>
          </stop>
          <stop position="1">
            <color theme="0"/>
          </stop>
        </gradientFill>
      </fill>
    </dxf>
    <dxf>
      <fill>
        <gradientFill degree="90">
          <stop position="0">
            <color theme="0"/>
          </stop>
          <stop position="0.5">
            <color rgb="FFFF0000"/>
          </stop>
          <stop position="1">
            <color theme="0"/>
          </stop>
        </gradientFill>
      </fill>
    </dxf>
    <dxf>
      <font>
        <b val="0"/>
        <i val="0"/>
        <strike val="0"/>
        <condense val="0"/>
        <extend val="0"/>
        <outline val="0"/>
        <shadow val="0"/>
        <u val="none"/>
        <vertAlign val="baseline"/>
        <sz val="10"/>
        <color theme="1"/>
        <name val="Calibri"/>
        <scheme val="minor"/>
      </font>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center" vertical="center"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0"/>
        <color theme="1"/>
        <name val="Calibri"/>
        <scheme val="minor"/>
      </font>
      <fill>
        <patternFill patternType="solid">
          <fgColor indexed="64"/>
          <bgColor theme="8" tint="0.39997558519241921"/>
        </patternFill>
      </fill>
      <alignment horizontal="center" vertical="center"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fif"/></Relationships>
</file>

<file path=xl/drawings/drawing1.xml><?xml version="1.0" encoding="utf-8"?>
<xdr:wsDr xmlns:xdr="http://schemas.openxmlformats.org/drawingml/2006/spreadsheetDrawing" xmlns:a="http://schemas.openxmlformats.org/drawingml/2006/main">
  <xdr:twoCellAnchor editAs="oneCell">
    <xdr:from>
      <xdr:col>3</xdr:col>
      <xdr:colOff>1352550</xdr:colOff>
      <xdr:row>41</xdr:row>
      <xdr:rowOff>142876</xdr:rowOff>
    </xdr:from>
    <xdr:to>
      <xdr:col>3</xdr:col>
      <xdr:colOff>2724150</xdr:colOff>
      <xdr:row>43</xdr:row>
      <xdr:rowOff>161926</xdr:rowOff>
    </xdr:to>
    <xdr:pic macro="[0]!Submit">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246" t="7436" r="6122" b="6282"/>
        <a:stretch/>
      </xdr:blipFill>
      <xdr:spPr>
        <a:xfrm>
          <a:off x="5257800" y="8115301"/>
          <a:ext cx="1371600" cy="400050"/>
        </a:xfrm>
        <a:prstGeom prst="roundRect">
          <a:avLst/>
        </a:prstGeom>
      </xdr:spPr>
    </xdr:pic>
    <xdr:clientData/>
  </xdr:twoCellAnchor>
  <xdr:twoCellAnchor editAs="oneCell">
    <xdr:from>
      <xdr:col>3</xdr:col>
      <xdr:colOff>3857625</xdr:colOff>
      <xdr:row>41</xdr:row>
      <xdr:rowOff>161925</xdr:rowOff>
    </xdr:from>
    <xdr:to>
      <xdr:col>5</xdr:col>
      <xdr:colOff>381000</xdr:colOff>
      <xdr:row>43</xdr:row>
      <xdr:rowOff>180372</xdr:rowOff>
    </xdr:to>
    <xdr:pic macro="[0]!_xludf.Clear">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3851" r="1351"/>
        <a:stretch/>
      </xdr:blipFill>
      <xdr:spPr>
        <a:xfrm>
          <a:off x="7762875" y="8134350"/>
          <a:ext cx="1219199" cy="39944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U1:U28" totalsRowShown="0" headerRowDxfId="12" dataDxfId="10" headerRowBorderDxfId="11" tableBorderDxfId="9" totalsRowBorderDxfId="8">
  <autoFilter ref="U1:U28" xr:uid="{00000000-0009-0000-0100-000001000000}"/>
  <tableColumns count="1">
    <tableColumn id="1" xr3:uid="{00000000-0010-0000-0000-000001000000}" name="Cardless Credit"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4:V11"/>
  <sheetViews>
    <sheetView workbookViewId="0">
      <selection activeCell="A6" sqref="A6:A7"/>
    </sheetView>
  </sheetViews>
  <sheetFormatPr defaultRowHeight="15"/>
  <cols>
    <col min="1" max="1" width="9.85546875" bestFit="1" customWidth="1"/>
    <col min="2" max="2" width="9.85546875" customWidth="1"/>
    <col min="3" max="3" width="9.42578125" bestFit="1" customWidth="1"/>
    <col min="4" max="4" width="9.42578125" customWidth="1"/>
    <col min="5" max="5" width="11.42578125" customWidth="1"/>
    <col min="6" max="7" width="14.42578125" customWidth="1"/>
    <col min="8" max="8" width="10.42578125" bestFit="1" customWidth="1"/>
    <col min="9" max="10" width="10.42578125" customWidth="1"/>
  </cols>
  <sheetData>
    <row r="4" spans="1:22">
      <c r="A4" s="97"/>
      <c r="B4" s="147" t="s">
        <v>778</v>
      </c>
      <c r="C4" s="148"/>
      <c r="D4" s="149"/>
      <c r="E4" s="147" t="s">
        <v>781</v>
      </c>
      <c r="F4" s="148"/>
      <c r="G4" s="149"/>
      <c r="H4" s="147" t="s">
        <v>773</v>
      </c>
      <c r="I4" s="148"/>
      <c r="J4" s="149"/>
      <c r="K4" s="147" t="s">
        <v>776</v>
      </c>
      <c r="L4" s="148"/>
      <c r="M4" s="149"/>
      <c r="N4" s="147" t="s">
        <v>775</v>
      </c>
      <c r="O4" s="148"/>
      <c r="P4" s="149"/>
      <c r="Q4" s="147" t="s">
        <v>771</v>
      </c>
      <c r="R4" s="148"/>
      <c r="S4" s="149"/>
      <c r="T4" s="147" t="s">
        <v>772</v>
      </c>
      <c r="U4" s="148"/>
      <c r="V4" s="149"/>
    </row>
    <row r="5" spans="1:22">
      <c r="A5" s="102" t="s">
        <v>780</v>
      </c>
      <c r="B5" s="98" t="s">
        <v>782</v>
      </c>
      <c r="C5" s="98" t="s">
        <v>783</v>
      </c>
      <c r="D5" s="98" t="s">
        <v>779</v>
      </c>
      <c r="E5" s="96" t="s">
        <v>782</v>
      </c>
      <c r="F5" s="96" t="s">
        <v>783</v>
      </c>
      <c r="G5" s="96" t="s">
        <v>779</v>
      </c>
      <c r="H5" s="99" t="s">
        <v>782</v>
      </c>
      <c r="I5" s="99" t="s">
        <v>783</v>
      </c>
      <c r="J5" s="99" t="s">
        <v>779</v>
      </c>
      <c r="K5" s="100" t="s">
        <v>782</v>
      </c>
      <c r="L5" s="100" t="s">
        <v>783</v>
      </c>
      <c r="M5" s="100" t="s">
        <v>779</v>
      </c>
      <c r="N5" s="101" t="s">
        <v>782</v>
      </c>
      <c r="O5" s="101" t="s">
        <v>783</v>
      </c>
      <c r="P5" s="101" t="s">
        <v>779</v>
      </c>
      <c r="Q5" s="94" t="s">
        <v>782</v>
      </c>
      <c r="R5" s="94" t="s">
        <v>783</v>
      </c>
      <c r="S5" s="94" t="s">
        <v>779</v>
      </c>
      <c r="T5" s="74" t="s">
        <v>782</v>
      </c>
      <c r="U5" s="74" t="s">
        <v>783</v>
      </c>
      <c r="V5" s="74" t="s">
        <v>779</v>
      </c>
    </row>
    <row r="6" spans="1:22">
      <c r="A6" s="103" t="s">
        <v>784</v>
      </c>
      <c r="B6" s="76">
        <v>0.77604166666666663</v>
      </c>
      <c r="C6" s="76">
        <v>0.80209999999999992</v>
      </c>
      <c r="D6" s="76">
        <f t="shared" ref="D6:D9" si="0">B6-C6</f>
        <v>-2.6058333333333294E-2</v>
      </c>
      <c r="E6" s="76">
        <v>0.81770833333333315</v>
      </c>
      <c r="F6" s="76">
        <v>0.88</v>
      </c>
      <c r="G6" s="76">
        <f t="shared" ref="G6:G11" si="1">E6-F6</f>
        <v>-6.2291666666666856E-2</v>
      </c>
      <c r="H6" s="76">
        <v>0.72916666666666652</v>
      </c>
      <c r="I6" s="76">
        <v>0.66150000000000009</v>
      </c>
      <c r="J6" s="76">
        <f t="shared" ref="J6:J11" si="2">H6-I6</f>
        <v>6.7666666666666431E-2</v>
      </c>
      <c r="K6" s="76">
        <v>0.77604166666666663</v>
      </c>
      <c r="L6" s="76">
        <v>0.78650000000000009</v>
      </c>
      <c r="M6" s="76">
        <f t="shared" ref="M6:M11" si="3">K6-L6</f>
        <v>-1.0458333333333458E-2</v>
      </c>
      <c r="N6" s="76">
        <v>0.64062499999999989</v>
      </c>
      <c r="O6" s="76">
        <v>0.66480000000000006</v>
      </c>
      <c r="P6" s="76">
        <f t="shared" ref="P6:P9" si="4">N6-O6</f>
        <v>-2.4175000000000169E-2</v>
      </c>
      <c r="Q6" s="76">
        <v>0.875</v>
      </c>
      <c r="R6" s="76">
        <v>0.84900000000000009</v>
      </c>
      <c r="S6" s="76">
        <f t="shared" ref="S6:S9" si="5">Q6-R6</f>
        <v>2.5999999999999912E-2</v>
      </c>
      <c r="T6" s="76">
        <v>0.76041666666666674</v>
      </c>
      <c r="U6" s="76">
        <v>0.71510000000000007</v>
      </c>
      <c r="V6" s="76">
        <f t="shared" ref="V6:V11" si="6">T6-U6</f>
        <v>4.5316666666666672E-2</v>
      </c>
    </row>
    <row r="7" spans="1:22">
      <c r="A7" s="103" t="s">
        <v>770</v>
      </c>
      <c r="B7" s="76">
        <v>0.86979166666666652</v>
      </c>
      <c r="C7" s="76">
        <v>0.88170000000000004</v>
      </c>
      <c r="D7" s="76">
        <f t="shared" si="0"/>
        <v>-1.1908333333333521E-2</v>
      </c>
      <c r="E7" s="76">
        <v>0.78645833333333326</v>
      </c>
      <c r="F7" s="76">
        <v>0.84</v>
      </c>
      <c r="G7" s="76">
        <f t="shared" si="1"/>
        <v>-5.354166666666671E-2</v>
      </c>
      <c r="H7" s="76">
        <v>0</v>
      </c>
      <c r="I7" s="76">
        <v>0</v>
      </c>
      <c r="J7" s="76">
        <f t="shared" si="2"/>
        <v>0</v>
      </c>
      <c r="K7" s="76">
        <v>0.78645833333333326</v>
      </c>
      <c r="L7" s="76">
        <v>0.76560000000000006</v>
      </c>
      <c r="M7" s="76">
        <f t="shared" si="3"/>
        <v>2.0858333333333201E-2</v>
      </c>
      <c r="N7" s="76">
        <v>0</v>
      </c>
      <c r="O7" s="76">
        <v>0</v>
      </c>
      <c r="P7" s="76">
        <f t="shared" si="4"/>
        <v>0</v>
      </c>
      <c r="Q7" s="76">
        <v>0.74479166666666641</v>
      </c>
      <c r="R7" s="76">
        <v>0.70829999999999993</v>
      </c>
      <c r="S7" s="76">
        <f t="shared" si="5"/>
        <v>3.6491666666666478E-2</v>
      </c>
      <c r="T7" s="76">
        <v>0.81770833333333315</v>
      </c>
      <c r="U7" s="76">
        <v>0.77599999999999991</v>
      </c>
      <c r="V7" s="76">
        <f t="shared" si="6"/>
        <v>4.1708333333333236E-2</v>
      </c>
    </row>
    <row r="8" spans="1:22">
      <c r="A8" s="103" t="s">
        <v>774</v>
      </c>
      <c r="B8" s="76">
        <v>0.86458333333333326</v>
      </c>
      <c r="C8" s="76">
        <v>0.86980000000000002</v>
      </c>
      <c r="D8" s="76">
        <f t="shared" si="0"/>
        <v>-5.2166666666667583E-3</v>
      </c>
      <c r="E8" s="76">
        <v>0.72916666666666641</v>
      </c>
      <c r="F8" s="76">
        <v>0.76</v>
      </c>
      <c r="G8" s="76">
        <f t="shared" si="1"/>
        <v>-3.0833333333333601E-2</v>
      </c>
      <c r="H8" s="76">
        <v>0</v>
      </c>
      <c r="I8" s="76">
        <v>0</v>
      </c>
      <c r="J8" s="76">
        <f t="shared" si="2"/>
        <v>0</v>
      </c>
      <c r="K8" s="76">
        <v>0.78645833333333326</v>
      </c>
      <c r="L8" s="76">
        <v>0.8125</v>
      </c>
      <c r="M8" s="76">
        <f t="shared" si="3"/>
        <v>-2.6041666666666741E-2</v>
      </c>
      <c r="N8" s="76">
        <v>0.89583333333333337</v>
      </c>
      <c r="O8" s="76">
        <v>0.94620000000000004</v>
      </c>
      <c r="P8" s="76">
        <f t="shared" si="4"/>
        <v>-5.0366666666666671E-2</v>
      </c>
      <c r="Q8" s="76">
        <v>0.79500000000000004</v>
      </c>
      <c r="R8" s="76">
        <v>0.76800000000000002</v>
      </c>
      <c r="S8" s="76">
        <f t="shared" si="5"/>
        <v>2.7000000000000024E-2</v>
      </c>
      <c r="T8" s="76">
        <v>0.78645833333333326</v>
      </c>
      <c r="U8" s="76">
        <v>0.8125</v>
      </c>
      <c r="V8" s="76">
        <f t="shared" si="6"/>
        <v>-2.6041666666666741E-2</v>
      </c>
    </row>
    <row r="9" spans="1:22">
      <c r="A9" s="103" t="s">
        <v>774</v>
      </c>
      <c r="B9" s="76">
        <v>0.69270833333333337</v>
      </c>
      <c r="C9" s="76">
        <v>1</v>
      </c>
      <c r="D9" s="76">
        <f t="shared" si="0"/>
        <v>-0.30729166666666663</v>
      </c>
      <c r="E9" s="76">
        <v>0.75</v>
      </c>
      <c r="F9" s="76">
        <v>0.73</v>
      </c>
      <c r="G9" s="76">
        <f t="shared" si="1"/>
        <v>2.0000000000000018E-2</v>
      </c>
      <c r="H9" s="76">
        <v>0</v>
      </c>
      <c r="I9" s="76">
        <v>0</v>
      </c>
      <c r="J9" s="76">
        <f t="shared" si="2"/>
        <v>0</v>
      </c>
      <c r="K9" s="76">
        <v>0.82812499999999989</v>
      </c>
      <c r="L9" s="76">
        <v>0.81180000000000008</v>
      </c>
      <c r="M9" s="76">
        <f t="shared" si="3"/>
        <v>1.6324999999999812E-2</v>
      </c>
      <c r="N9" s="76">
        <v>0.86458333333333326</v>
      </c>
      <c r="O9" s="76">
        <v>0.82969999999999999</v>
      </c>
      <c r="P9" s="76">
        <f t="shared" si="4"/>
        <v>3.4883333333333266E-2</v>
      </c>
      <c r="Q9" s="76">
        <v>0.77083333333333326</v>
      </c>
      <c r="R9" s="76">
        <v>0.78650000000000009</v>
      </c>
      <c r="S9" s="76">
        <f t="shared" si="5"/>
        <v>-1.5666666666666829E-2</v>
      </c>
      <c r="T9" s="76">
        <v>0.89583333333333337</v>
      </c>
      <c r="U9" s="76">
        <v>0.88540000000000008</v>
      </c>
      <c r="V9" s="76">
        <f t="shared" si="6"/>
        <v>1.0433333333333294E-2</v>
      </c>
    </row>
    <row r="10" spans="1:22">
      <c r="A10" s="103" t="s">
        <v>777</v>
      </c>
      <c r="B10" s="76">
        <v>0.80729166666666663</v>
      </c>
      <c r="C10" s="76">
        <v>0.87909999999999999</v>
      </c>
      <c r="D10" s="76">
        <v>-7.1808333333333363E-2</v>
      </c>
      <c r="E10" s="76">
        <v>0.79166666666666663</v>
      </c>
      <c r="F10" s="76">
        <v>0.77</v>
      </c>
      <c r="G10" s="76">
        <f t="shared" si="1"/>
        <v>2.1666666666666612E-2</v>
      </c>
      <c r="H10" s="76">
        <v>0.70312499999999989</v>
      </c>
      <c r="I10" s="76">
        <v>0.76700000000000002</v>
      </c>
      <c r="J10" s="76">
        <f t="shared" si="2"/>
        <v>-6.3875000000000126E-2</v>
      </c>
      <c r="K10" s="76">
        <v>0.80729166666666663</v>
      </c>
      <c r="L10" s="76">
        <v>0.80110000000000003</v>
      </c>
      <c r="M10" s="76">
        <f t="shared" si="3"/>
        <v>6.1916666666665954E-3</v>
      </c>
      <c r="N10" s="97"/>
      <c r="O10" s="97"/>
      <c r="P10" s="97"/>
      <c r="Q10" s="97"/>
      <c r="R10" s="97"/>
      <c r="S10" s="97"/>
      <c r="T10" s="76">
        <v>0.78124999999999989</v>
      </c>
      <c r="U10" s="76">
        <v>0.76560000000000006</v>
      </c>
      <c r="V10" s="76">
        <f t="shared" si="6"/>
        <v>1.5649999999999831E-2</v>
      </c>
    </row>
    <row r="11" spans="1:22">
      <c r="A11" s="103" t="s">
        <v>777</v>
      </c>
      <c r="B11" s="76">
        <v>0</v>
      </c>
      <c r="C11" s="76">
        <v>0</v>
      </c>
      <c r="D11" s="76">
        <v>0</v>
      </c>
      <c r="E11" s="76">
        <v>0</v>
      </c>
      <c r="F11" s="76">
        <v>0</v>
      </c>
      <c r="G11" s="76">
        <f t="shared" si="1"/>
        <v>0</v>
      </c>
      <c r="H11" s="76">
        <v>0</v>
      </c>
      <c r="I11" s="76">
        <v>0</v>
      </c>
      <c r="J11" s="76">
        <f t="shared" si="2"/>
        <v>0</v>
      </c>
      <c r="K11" s="76">
        <v>0.84895833333333337</v>
      </c>
      <c r="L11" s="76">
        <v>0.82</v>
      </c>
      <c r="M11" s="76">
        <f t="shared" si="3"/>
        <v>2.8958333333333419E-2</v>
      </c>
      <c r="N11" s="97"/>
      <c r="O11" s="97"/>
      <c r="P11" s="97"/>
      <c r="Q11" s="97"/>
      <c r="R11" s="97"/>
      <c r="S11" s="97"/>
      <c r="T11" s="76">
        <v>0.66129032258064513</v>
      </c>
      <c r="U11" s="76">
        <v>0.94790000000000008</v>
      </c>
      <c r="V11" s="76">
        <f t="shared" si="6"/>
        <v>-0.28660967741935495</v>
      </c>
    </row>
  </sheetData>
  <mergeCells count="7">
    <mergeCell ref="Q4:S4"/>
    <mergeCell ref="T4:V4"/>
    <mergeCell ref="B4:D4"/>
    <mergeCell ref="K4:M4"/>
    <mergeCell ref="H4:J4"/>
    <mergeCell ref="E4:G4"/>
    <mergeCell ref="N4:P4"/>
  </mergeCells>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F279"/>
  <sheetViews>
    <sheetView showGridLines="0" tabSelected="1" zoomScale="106" zoomScaleNormal="106" workbookViewId="0"/>
  </sheetViews>
  <sheetFormatPr defaultColWidth="0" defaultRowHeight="15" customHeight="1"/>
  <cols>
    <col min="1" max="1" width="22.85546875" style="120" customWidth="1"/>
    <col min="2" max="2" width="37" style="106" bestFit="1" customWidth="1"/>
    <col min="3" max="3" width="2" style="106" customWidth="1"/>
    <col min="4" max="4" width="61.28515625" style="106" customWidth="1"/>
    <col min="5" max="5" width="9.140625" style="106" customWidth="1"/>
    <col min="6" max="6" width="11.42578125" style="106" customWidth="1"/>
    <col min="7" max="7" width="40" style="106" customWidth="1"/>
    <col min="8" max="8" width="15" style="106" customWidth="1"/>
    <col min="9" max="10" width="9.140625" style="106" customWidth="1"/>
    <col min="11" max="13" width="9.140625" style="106" hidden="1" customWidth="1"/>
    <col min="14" max="14" width="13.42578125" style="106" hidden="1" customWidth="1"/>
    <col min="15" max="15" width="18.85546875" style="106" hidden="1" customWidth="1"/>
    <col min="16" max="20" width="9.140625" style="106" hidden="1" customWidth="1"/>
    <col min="21" max="21" width="31.140625" style="120" hidden="1" customWidth="1"/>
    <col min="22" max="22" width="9.140625" style="120" hidden="1" customWidth="1"/>
    <col min="23" max="23" width="31.140625" style="120" hidden="1" customWidth="1"/>
    <col min="24" max="24" width="34.5703125" style="120" hidden="1" customWidth="1"/>
    <col min="25" max="25" width="9.140625" style="120" hidden="1" customWidth="1"/>
    <col min="26" max="26" width="34.5703125" style="120" hidden="1" customWidth="1"/>
    <col min="27" max="27" width="71.5703125" style="120" hidden="1" customWidth="1"/>
    <col min="28" max="32" width="0" style="120" hidden="1" customWidth="1"/>
    <col min="33" max="16384" width="9.140625" style="106" hidden="1"/>
  </cols>
  <sheetData>
    <row r="1" spans="1:31" ht="15" customHeight="1" thickBot="1">
      <c r="U1" s="107" t="s">
        <v>323</v>
      </c>
      <c r="W1" s="108" t="s">
        <v>730</v>
      </c>
      <c r="X1" s="108" t="s">
        <v>731</v>
      </c>
      <c r="Z1" s="108" t="s">
        <v>731</v>
      </c>
      <c r="AA1" s="108" t="s">
        <v>732</v>
      </c>
      <c r="AC1" s="109" t="s">
        <v>723</v>
      </c>
      <c r="AD1" s="109" t="s">
        <v>723</v>
      </c>
      <c r="AE1" s="109" t="s">
        <v>723</v>
      </c>
    </row>
    <row r="2" spans="1:31" ht="27.75" customHeight="1" thickBot="1">
      <c r="A2" s="67" t="s">
        <v>734</v>
      </c>
      <c r="B2" s="68"/>
      <c r="C2" s="127"/>
      <c r="D2" s="66" t="s">
        <v>733</v>
      </c>
      <c r="E2" s="62"/>
      <c r="F2" s="62"/>
      <c r="G2" s="62"/>
      <c r="H2" s="62"/>
      <c r="I2" s="62"/>
      <c r="N2" s="62"/>
      <c r="O2" s="62"/>
      <c r="U2" s="110" t="s">
        <v>349</v>
      </c>
      <c r="W2" s="111" t="s">
        <v>320</v>
      </c>
      <c r="X2" s="111" t="s">
        <v>321</v>
      </c>
      <c r="Z2" s="111" t="s">
        <v>713</v>
      </c>
      <c r="AA2" s="111" t="s">
        <v>709</v>
      </c>
      <c r="AC2" s="112" t="s">
        <v>726</v>
      </c>
      <c r="AD2" s="112" t="s">
        <v>726</v>
      </c>
      <c r="AE2" s="112" t="s">
        <v>725</v>
      </c>
    </row>
    <row r="3" spans="1:31" ht="15" customHeight="1">
      <c r="U3" s="110" t="s">
        <v>365</v>
      </c>
      <c r="W3" s="111" t="s">
        <v>323</v>
      </c>
      <c r="X3" s="111" t="s">
        <v>324</v>
      </c>
      <c r="Z3" s="111" t="s">
        <v>713</v>
      </c>
      <c r="AA3" s="111" t="s">
        <v>710</v>
      </c>
      <c r="AC3" s="112" t="s">
        <v>725</v>
      </c>
      <c r="AD3" s="112" t="s">
        <v>725</v>
      </c>
    </row>
    <row r="4" spans="1:31" ht="15" customHeight="1">
      <c r="A4" s="90" t="s">
        <v>101</v>
      </c>
      <c r="B4"/>
      <c r="D4" s="113" t="s">
        <v>10</v>
      </c>
      <c r="E4" s="113" t="s">
        <v>139</v>
      </c>
      <c r="F4" s="114" t="s">
        <v>140</v>
      </c>
      <c r="G4" s="114" t="s">
        <v>142</v>
      </c>
      <c r="H4" s="115" t="s">
        <v>144</v>
      </c>
      <c r="N4" s="113" t="s">
        <v>98</v>
      </c>
      <c r="O4" s="118"/>
      <c r="U4" s="110" t="s">
        <v>370</v>
      </c>
      <c r="W4" s="111" t="s">
        <v>323</v>
      </c>
      <c r="X4" s="111" t="s">
        <v>326</v>
      </c>
      <c r="Z4" s="111" t="s">
        <v>712</v>
      </c>
      <c r="AA4" s="111" t="s">
        <v>708</v>
      </c>
      <c r="AD4" s="120" t="s">
        <v>729</v>
      </c>
    </row>
    <row r="5" spans="1:31" ht="15" customHeight="1">
      <c r="A5" s="90" t="s">
        <v>102</v>
      </c>
      <c r="B5" s="143" t="s">
        <v>789</v>
      </c>
      <c r="C5" s="128"/>
      <c r="D5" s="129" t="s">
        <v>0</v>
      </c>
      <c r="E5" s="64">
        <v>0.03</v>
      </c>
      <c r="F5" s="73" t="s">
        <v>723</v>
      </c>
      <c r="G5" s="130"/>
      <c r="H5" s="131"/>
      <c r="J5" s="73" t="s">
        <v>723</v>
      </c>
      <c r="N5" s="65">
        <f t="shared" ref="N5:N18" si="0">IF(F5="Expert",E5,IF(F5="Intermediate",(E5/2),IF(F5="Novice",0,0)))</f>
        <v>0.03</v>
      </c>
      <c r="O5" s="116">
        <f t="shared" ref="O5:O21" si="1">IF(F5="NA",0,E5)</f>
        <v>0.03</v>
      </c>
      <c r="U5" s="110" t="s">
        <v>388</v>
      </c>
      <c r="W5" s="111" t="s">
        <v>323</v>
      </c>
      <c r="X5" s="111" t="s">
        <v>330</v>
      </c>
      <c r="Z5" s="111" t="s">
        <v>371</v>
      </c>
      <c r="AA5" s="111" t="s">
        <v>372</v>
      </c>
    </row>
    <row r="6" spans="1:31" ht="15" customHeight="1">
      <c r="A6" s="90" t="s">
        <v>103</v>
      </c>
      <c r="B6" s="141"/>
      <c r="C6" s="128"/>
      <c r="D6" s="132" t="s">
        <v>1</v>
      </c>
      <c r="E6" s="64">
        <v>0.04</v>
      </c>
      <c r="F6" s="73" t="s">
        <v>729</v>
      </c>
      <c r="G6" s="130"/>
      <c r="H6" s="130"/>
      <c r="J6" s="73" t="s">
        <v>729</v>
      </c>
      <c r="N6" s="65">
        <f>IF(F6="Yes",E6,IF(F6="Fatal",0,0))</f>
        <v>0</v>
      </c>
      <c r="O6" s="116">
        <f t="shared" si="1"/>
        <v>0</v>
      </c>
      <c r="U6" s="110" t="s">
        <v>396</v>
      </c>
      <c r="W6" s="111" t="s">
        <v>323</v>
      </c>
      <c r="X6" s="111" t="s">
        <v>332</v>
      </c>
      <c r="Z6" s="111" t="s">
        <v>371</v>
      </c>
      <c r="AA6" s="111" t="s">
        <v>373</v>
      </c>
    </row>
    <row r="7" spans="1:31" ht="15" customHeight="1">
      <c r="A7" s="90" t="s">
        <v>764</v>
      </c>
      <c r="B7" s="71"/>
      <c r="C7" s="128"/>
      <c r="D7" s="133" t="s">
        <v>18</v>
      </c>
      <c r="E7" s="64">
        <v>0.06</v>
      </c>
      <c r="F7" s="73" t="s">
        <v>726</v>
      </c>
      <c r="G7" s="130"/>
      <c r="H7" s="134"/>
      <c r="J7" s="73" t="s">
        <v>723</v>
      </c>
      <c r="N7" s="65">
        <f t="shared" si="0"/>
        <v>0.03</v>
      </c>
      <c r="O7" s="116">
        <f t="shared" si="1"/>
        <v>0.06</v>
      </c>
      <c r="U7" s="110" t="s">
        <v>399</v>
      </c>
      <c r="W7" s="111" t="s">
        <v>323</v>
      </c>
      <c r="X7" s="111" t="s">
        <v>335</v>
      </c>
      <c r="Z7" s="111" t="s">
        <v>371</v>
      </c>
      <c r="AA7" s="111" t="s">
        <v>374</v>
      </c>
    </row>
    <row r="8" spans="1:31" ht="15" customHeight="1">
      <c r="A8" s="90" t="s">
        <v>105</v>
      </c>
      <c r="B8" s="141" t="s">
        <v>790</v>
      </c>
      <c r="C8" s="128"/>
      <c r="D8" s="133" t="s">
        <v>2</v>
      </c>
      <c r="E8" s="64">
        <v>0.05</v>
      </c>
      <c r="F8" s="73" t="s">
        <v>723</v>
      </c>
      <c r="G8" s="130"/>
      <c r="H8" s="131"/>
      <c r="J8" s="73" t="s">
        <v>723</v>
      </c>
      <c r="N8" s="65">
        <f t="shared" si="0"/>
        <v>0.05</v>
      </c>
      <c r="O8" s="116">
        <f t="shared" si="1"/>
        <v>0.05</v>
      </c>
      <c r="U8" s="110" t="s">
        <v>403</v>
      </c>
      <c r="W8" s="111" t="s">
        <v>323</v>
      </c>
      <c r="X8" s="111" t="s">
        <v>337</v>
      </c>
      <c r="Z8" s="111" t="s">
        <v>375</v>
      </c>
      <c r="AA8" s="111" t="s">
        <v>376</v>
      </c>
    </row>
    <row r="9" spans="1:31" ht="25.5">
      <c r="A9" s="90" t="s">
        <v>106</v>
      </c>
      <c r="B9" s="143"/>
      <c r="C9" s="128"/>
      <c r="D9" s="133" t="s">
        <v>3</v>
      </c>
      <c r="E9" s="64">
        <v>0.05</v>
      </c>
      <c r="F9" s="73" t="s">
        <v>726</v>
      </c>
      <c r="G9" s="130"/>
      <c r="H9" s="117"/>
      <c r="J9" s="73" t="s">
        <v>723</v>
      </c>
      <c r="N9" s="65">
        <f>IF(F9="Expert",E9,IF(F9="Intermediate",(E9/2),IF(F9="Novice",0,0)))</f>
        <v>2.5000000000000001E-2</v>
      </c>
      <c r="O9" s="116">
        <f>IF(F9="NA",0,E9)</f>
        <v>0.05</v>
      </c>
      <c r="U9" s="110" t="s">
        <v>420</v>
      </c>
      <c r="W9" s="111" t="s">
        <v>323</v>
      </c>
      <c r="X9" s="111" t="s">
        <v>341</v>
      </c>
      <c r="Z9" s="111" t="s">
        <v>375</v>
      </c>
      <c r="AA9" s="111" t="s">
        <v>377</v>
      </c>
    </row>
    <row r="10" spans="1:31" ht="15" customHeight="1">
      <c r="A10" s="90" t="s">
        <v>107</v>
      </c>
      <c r="B10" s="58"/>
      <c r="C10" s="128"/>
      <c r="D10" s="133" t="s">
        <v>48</v>
      </c>
      <c r="E10" s="64">
        <v>0.08</v>
      </c>
      <c r="F10" s="73" t="s">
        <v>723</v>
      </c>
      <c r="G10" s="130"/>
      <c r="J10" s="73" t="s">
        <v>723</v>
      </c>
      <c r="N10" s="65">
        <f t="shared" si="0"/>
        <v>0.08</v>
      </c>
      <c r="O10" s="116">
        <f t="shared" si="1"/>
        <v>0.08</v>
      </c>
      <c r="U10" s="110" t="s">
        <v>428</v>
      </c>
      <c r="W10" s="111" t="s">
        <v>323</v>
      </c>
      <c r="X10" s="111" t="s">
        <v>343</v>
      </c>
      <c r="Z10" s="111" t="s">
        <v>375</v>
      </c>
      <c r="AA10" s="111" t="s">
        <v>378</v>
      </c>
    </row>
    <row r="11" spans="1:31" ht="15" customHeight="1">
      <c r="A11" s="90" t="s">
        <v>108</v>
      </c>
      <c r="B11" s="144"/>
      <c r="C11" s="128"/>
      <c r="D11" s="133" t="s">
        <v>4</v>
      </c>
      <c r="E11" s="64">
        <v>0.06</v>
      </c>
      <c r="F11" s="73" t="s">
        <v>723</v>
      </c>
      <c r="G11" s="130"/>
      <c r="H11" s="131"/>
      <c r="J11" s="73" t="s">
        <v>723</v>
      </c>
      <c r="N11" s="65">
        <f>IF(F11="Expert",E11,IF(F11="Intermediate",(E11/2),IF(F11="Novice",0,0)))</f>
        <v>0.06</v>
      </c>
      <c r="O11" s="116">
        <f>IF(F11="NA",0,E11)</f>
        <v>0.06</v>
      </c>
      <c r="U11" s="110" t="s">
        <v>433</v>
      </c>
      <c r="W11" s="111" t="s">
        <v>323</v>
      </c>
      <c r="X11" s="111" t="s">
        <v>345</v>
      </c>
      <c r="Z11" s="111" t="s">
        <v>375</v>
      </c>
      <c r="AA11" s="111" t="s">
        <v>379</v>
      </c>
    </row>
    <row r="12" spans="1:31" ht="15" customHeight="1">
      <c r="A12" s="90" t="s">
        <v>109</v>
      </c>
      <c r="B12" s="144"/>
      <c r="D12" s="133" t="s">
        <v>5</v>
      </c>
      <c r="E12" s="64">
        <v>0.05</v>
      </c>
      <c r="F12" s="73" t="s">
        <v>723</v>
      </c>
      <c r="G12" s="130"/>
      <c r="H12" s="131"/>
      <c r="J12" s="73" t="s">
        <v>723</v>
      </c>
      <c r="N12" s="65">
        <f t="shared" si="0"/>
        <v>0.05</v>
      </c>
      <c r="O12" s="116">
        <f t="shared" si="1"/>
        <v>0.05</v>
      </c>
      <c r="U12" s="110" t="s">
        <v>452</v>
      </c>
      <c r="W12" s="111" t="s">
        <v>323</v>
      </c>
      <c r="X12" s="111" t="s">
        <v>347</v>
      </c>
      <c r="Z12" s="111" t="s">
        <v>375</v>
      </c>
      <c r="AA12" s="111" t="s">
        <v>380</v>
      </c>
    </row>
    <row r="13" spans="1:31" ht="15" customHeight="1">
      <c r="A13" s="90" t="s">
        <v>110</v>
      </c>
      <c r="B13" s="117"/>
      <c r="D13" s="129" t="s">
        <v>8</v>
      </c>
      <c r="E13" s="64">
        <v>0.04</v>
      </c>
      <c r="F13" s="73" t="s">
        <v>723</v>
      </c>
      <c r="G13" s="130"/>
      <c r="H13" s="131"/>
      <c r="J13" s="73" t="s">
        <v>723</v>
      </c>
      <c r="N13" s="65">
        <f t="shared" si="0"/>
        <v>0.04</v>
      </c>
      <c r="O13" s="116">
        <f t="shared" si="1"/>
        <v>0.04</v>
      </c>
      <c r="U13" s="110" t="s">
        <v>494</v>
      </c>
      <c r="W13" s="111" t="s">
        <v>349</v>
      </c>
      <c r="X13" s="111" t="s">
        <v>350</v>
      </c>
      <c r="Z13" s="111" t="s">
        <v>375</v>
      </c>
      <c r="AA13" s="111" t="s">
        <v>381</v>
      </c>
    </row>
    <row r="14" spans="1:31" ht="15" customHeight="1">
      <c r="A14" s="90" t="s">
        <v>111</v>
      </c>
      <c r="B14" s="142"/>
      <c r="D14" s="133" t="s">
        <v>19</v>
      </c>
      <c r="E14" s="64">
        <v>0.04</v>
      </c>
      <c r="F14" s="73" t="s">
        <v>723</v>
      </c>
      <c r="G14" s="130"/>
      <c r="H14" s="130"/>
      <c r="J14" s="73" t="s">
        <v>723</v>
      </c>
      <c r="N14" s="65">
        <f t="shared" si="0"/>
        <v>0.04</v>
      </c>
      <c r="O14" s="116">
        <f t="shared" si="1"/>
        <v>0.04</v>
      </c>
      <c r="U14" s="110" t="s">
        <v>528</v>
      </c>
      <c r="W14" s="111" t="s">
        <v>349</v>
      </c>
      <c r="X14" s="111" t="s">
        <v>352</v>
      </c>
      <c r="Z14" s="111" t="s">
        <v>324</v>
      </c>
      <c r="AA14" s="111" t="s">
        <v>325</v>
      </c>
    </row>
    <row r="15" spans="1:31" ht="15" customHeight="1">
      <c r="A15" s="90" t="s">
        <v>112</v>
      </c>
      <c r="B15"/>
      <c r="D15" s="135" t="s">
        <v>20</v>
      </c>
      <c r="E15" s="64">
        <v>0.06</v>
      </c>
      <c r="F15" s="73" t="s">
        <v>723</v>
      </c>
      <c r="G15" s="130"/>
      <c r="H15" s="130"/>
      <c r="J15" s="73" t="s">
        <v>723</v>
      </c>
      <c r="N15" s="65">
        <f t="shared" si="0"/>
        <v>0.06</v>
      </c>
      <c r="O15" s="116">
        <f t="shared" si="1"/>
        <v>0.06</v>
      </c>
      <c r="U15" s="110" t="s">
        <v>541</v>
      </c>
      <c r="W15" s="111" t="s">
        <v>349</v>
      </c>
      <c r="X15" s="111" t="s">
        <v>354</v>
      </c>
      <c r="Z15" s="111" t="s">
        <v>324</v>
      </c>
      <c r="AA15" s="111" t="s">
        <v>382</v>
      </c>
    </row>
    <row r="16" spans="1:31" ht="15" customHeight="1">
      <c r="A16" s="90" t="s">
        <v>113</v>
      </c>
      <c r="B16" s="142"/>
      <c r="D16" s="132" t="s">
        <v>21</v>
      </c>
      <c r="E16" s="64">
        <v>0.1</v>
      </c>
      <c r="F16" s="73" t="s">
        <v>724</v>
      </c>
      <c r="G16" s="130"/>
      <c r="H16" s="131"/>
      <c r="J16" s="73" t="s">
        <v>724</v>
      </c>
      <c r="N16" s="65">
        <f>IF(F16="Yes",E16,IF(F16="Fatal",0,0))</f>
        <v>0.1</v>
      </c>
      <c r="O16" s="116">
        <f t="shared" si="1"/>
        <v>0.1</v>
      </c>
      <c r="U16" s="110" t="s">
        <v>555</v>
      </c>
      <c r="W16" s="111" t="s">
        <v>349</v>
      </c>
      <c r="X16" s="111" t="s">
        <v>356</v>
      </c>
      <c r="Z16" s="111" t="s">
        <v>383</v>
      </c>
      <c r="AA16" s="111" t="s">
        <v>384</v>
      </c>
    </row>
    <row r="17" spans="1:27" ht="15" customHeight="1">
      <c r="A17" s="90" t="s">
        <v>114</v>
      </c>
      <c r="B17" s="71"/>
      <c r="D17" s="129" t="s">
        <v>22</v>
      </c>
      <c r="E17" s="64">
        <v>0.04</v>
      </c>
      <c r="F17" s="73" t="s">
        <v>723</v>
      </c>
      <c r="G17" s="130"/>
      <c r="J17" s="73" t="s">
        <v>723</v>
      </c>
      <c r="N17" s="65">
        <f t="shared" si="0"/>
        <v>0.04</v>
      </c>
      <c r="O17" s="116">
        <f t="shared" si="1"/>
        <v>0.04</v>
      </c>
      <c r="U17" s="110" t="s">
        <v>558</v>
      </c>
      <c r="W17" s="111" t="s">
        <v>349</v>
      </c>
      <c r="X17" s="111" t="s">
        <v>359</v>
      </c>
      <c r="Z17" s="111" t="s">
        <v>326</v>
      </c>
      <c r="AA17" s="111" t="s">
        <v>327</v>
      </c>
    </row>
    <row r="18" spans="1:27" ht="15" customHeight="1">
      <c r="A18" s="90" t="s">
        <v>115</v>
      </c>
      <c r="B18" s="71"/>
      <c r="D18" s="129" t="s">
        <v>716</v>
      </c>
      <c r="E18" s="64">
        <v>0.03</v>
      </c>
      <c r="F18" s="73" t="s">
        <v>723</v>
      </c>
      <c r="G18" s="130"/>
      <c r="H18" s="131"/>
      <c r="J18" s="73" t="s">
        <v>723</v>
      </c>
      <c r="N18" s="65">
        <f t="shared" si="0"/>
        <v>0.03</v>
      </c>
      <c r="O18" s="116">
        <f t="shared" si="1"/>
        <v>0.03</v>
      </c>
      <c r="U18" s="110" t="s">
        <v>579</v>
      </c>
      <c r="W18" s="111" t="s">
        <v>349</v>
      </c>
      <c r="X18" s="111" t="s">
        <v>361</v>
      </c>
      <c r="Z18" s="111" t="s">
        <v>326</v>
      </c>
      <c r="AA18" s="111" t="s">
        <v>328</v>
      </c>
    </row>
    <row r="19" spans="1:27" ht="15" customHeight="1">
      <c r="A19" s="90" t="s">
        <v>116</v>
      </c>
      <c r="B19" s="71"/>
      <c r="D19" s="132" t="s">
        <v>24</v>
      </c>
      <c r="E19" s="64">
        <v>0.08</v>
      </c>
      <c r="F19" s="73" t="s">
        <v>724</v>
      </c>
      <c r="G19" s="130"/>
      <c r="H19" s="130"/>
      <c r="J19" s="73" t="s">
        <v>724</v>
      </c>
      <c r="N19" s="65">
        <f>IF(F19="Yes",E19,IF(F19="No",0,IF(F19="Fatal",0,0)))</f>
        <v>0.08</v>
      </c>
      <c r="O19" s="116">
        <f t="shared" si="1"/>
        <v>0.08</v>
      </c>
      <c r="U19" s="110" t="s">
        <v>442</v>
      </c>
      <c r="W19" s="111" t="s">
        <v>349</v>
      </c>
      <c r="X19" s="111" t="s">
        <v>363</v>
      </c>
      <c r="Z19" s="111" t="s">
        <v>326</v>
      </c>
      <c r="AA19" s="111" t="s">
        <v>329</v>
      </c>
    </row>
    <row r="20" spans="1:27" ht="15" customHeight="1">
      <c r="A20" s="90" t="s">
        <v>117</v>
      </c>
      <c r="B20" s="71"/>
      <c r="D20" s="136" t="s">
        <v>25</v>
      </c>
      <c r="E20" s="64">
        <v>0.15</v>
      </c>
      <c r="F20" s="73" t="s">
        <v>726</v>
      </c>
      <c r="G20" s="146"/>
      <c r="H20" s="130"/>
      <c r="J20" s="73" t="s">
        <v>723</v>
      </c>
      <c r="N20" s="65">
        <f>IF(F20="Expert",E20,IF(F20="Intermediate",(E20/2),IF(F20="Novice",0,0)))</f>
        <v>7.4999999999999997E-2</v>
      </c>
      <c r="O20" s="116">
        <f t="shared" si="1"/>
        <v>0.15</v>
      </c>
      <c r="U20" s="110" t="s">
        <v>612</v>
      </c>
      <c r="W20" s="111" t="s">
        <v>711</v>
      </c>
      <c r="X20" s="111" t="s">
        <v>648</v>
      </c>
      <c r="Z20" s="111" t="s">
        <v>649</v>
      </c>
      <c r="AA20" s="111" t="s">
        <v>650</v>
      </c>
    </row>
    <row r="21" spans="1:27" ht="15" customHeight="1">
      <c r="A21" s="90" t="s">
        <v>118</v>
      </c>
      <c r="B21" s="71"/>
      <c r="D21" s="132" t="s">
        <v>26</v>
      </c>
      <c r="E21" s="64">
        <v>0.04</v>
      </c>
      <c r="F21" s="73" t="s">
        <v>724</v>
      </c>
      <c r="G21" s="130"/>
      <c r="H21" s="137"/>
      <c r="J21" s="73" t="s">
        <v>724</v>
      </c>
      <c r="N21" s="65">
        <f>IF(F21="Yes",E21,IF(F21="Fatal",0,0))</f>
        <v>0.04</v>
      </c>
      <c r="O21" s="116">
        <f t="shared" si="1"/>
        <v>0.04</v>
      </c>
      <c r="U21" s="110" t="s">
        <v>616</v>
      </c>
      <c r="W21" s="111" t="s">
        <v>711</v>
      </c>
      <c r="X21" s="111" t="s">
        <v>715</v>
      </c>
      <c r="Z21" s="111" t="s">
        <v>649</v>
      </c>
      <c r="AA21" s="111" t="s">
        <v>651</v>
      </c>
    </row>
    <row r="22" spans="1:27" ht="15" customHeight="1">
      <c r="A22" s="90" t="s">
        <v>119</v>
      </c>
      <c r="B22" s="71"/>
      <c r="D22" s="132" t="s">
        <v>270</v>
      </c>
      <c r="E22" s="64"/>
      <c r="F22" s="63"/>
      <c r="G22" s="130"/>
      <c r="J22" s="63" t="s">
        <v>728</v>
      </c>
      <c r="N22" s="118"/>
      <c r="O22" s="118"/>
      <c r="U22" s="110" t="s">
        <v>625</v>
      </c>
      <c r="W22" s="111" t="s">
        <v>711</v>
      </c>
      <c r="X22" s="111" t="s">
        <v>452</v>
      </c>
      <c r="Z22" s="111" t="s">
        <v>649</v>
      </c>
      <c r="AA22" s="111" t="s">
        <v>652</v>
      </c>
    </row>
    <row r="23" spans="1:27" ht="15" customHeight="1">
      <c r="A23" s="90" t="s">
        <v>120</v>
      </c>
      <c r="B23" s="146"/>
      <c r="D23" s="138" t="s">
        <v>147</v>
      </c>
      <c r="E23" s="138"/>
      <c r="F23" s="119">
        <f>(N7+N8+N9+N10+N11+N12+N14+N20)/(O7+O8+O9+O10+O11+O12+O14+O20)</f>
        <v>0.7592592592592593</v>
      </c>
      <c r="G23" s="117"/>
      <c r="N23" s="120"/>
      <c r="O23" s="120"/>
      <c r="U23" s="110" t="s">
        <v>628</v>
      </c>
      <c r="W23" s="111" t="s">
        <v>711</v>
      </c>
      <c r="X23" s="111" t="s">
        <v>697</v>
      </c>
      <c r="Z23" s="111" t="s">
        <v>649</v>
      </c>
      <c r="AA23" s="111" t="s">
        <v>653</v>
      </c>
    </row>
    <row r="24" spans="1:27" ht="15" customHeight="1">
      <c r="A24" s="90" t="s">
        <v>121</v>
      </c>
      <c r="B24" s="58"/>
      <c r="D24" s="138" t="s">
        <v>148</v>
      </c>
      <c r="E24" s="138"/>
      <c r="F24" s="119">
        <f>IF(OR(F6="Fatal",F16="Fatal",F19="Fatal",F21="Fatal"),0,((N6+N16+N19+N21)/(O6+O16+O19+O21)))</f>
        <v>1</v>
      </c>
      <c r="G24" s="95"/>
      <c r="N24" s="120"/>
      <c r="O24" s="120"/>
      <c r="U24" s="110" t="s">
        <v>635</v>
      </c>
      <c r="W24" s="111" t="s">
        <v>711</v>
      </c>
      <c r="X24" s="111" t="s">
        <v>700</v>
      </c>
      <c r="Z24" s="111" t="s">
        <v>330</v>
      </c>
      <c r="AA24" s="111" t="s">
        <v>331</v>
      </c>
    </row>
    <row r="25" spans="1:27" ht="15" customHeight="1">
      <c r="A25" s="90" t="s">
        <v>145</v>
      </c>
      <c r="B25" s="106" t="s">
        <v>791</v>
      </c>
      <c r="D25" s="138" t="s">
        <v>99</v>
      </c>
      <c r="E25" s="138"/>
      <c r="F25" s="119">
        <f>IF(F21="Fatal",0,IF(F22="Yes",0,IF(F19="Fatal",0,IF(F16="Fatal",0,IF(F6="Fatal",0,((SUM(N5:N21))/(SUM(O5:O21))))))))</f>
        <v>0.86458333333333326</v>
      </c>
      <c r="G25" s="95"/>
      <c r="N25" s="120"/>
      <c r="O25" s="120"/>
      <c r="U25" s="110" t="s">
        <v>648</v>
      </c>
      <c r="W25" s="111" t="s">
        <v>711</v>
      </c>
      <c r="X25" s="111" t="s">
        <v>704</v>
      </c>
      <c r="Z25" s="111" t="s">
        <v>330</v>
      </c>
      <c r="AA25" s="111" t="s">
        <v>389</v>
      </c>
    </row>
    <row r="26" spans="1:27" ht="15" customHeight="1" thickBot="1">
      <c r="A26" s="90" t="s">
        <v>314</v>
      </c>
      <c r="B26" s="92"/>
      <c r="D26" s="139" t="s">
        <v>768</v>
      </c>
      <c r="E26" s="138"/>
      <c r="F26" s="119">
        <f>SUM(N7,N11,N20)/SUM(O7,O11,O20)</f>
        <v>0.61111111111111105</v>
      </c>
      <c r="G26" s="91"/>
      <c r="U26" s="110" t="s">
        <v>687</v>
      </c>
      <c r="W26" s="111" t="s">
        <v>711</v>
      </c>
      <c r="X26" s="111" t="s">
        <v>706</v>
      </c>
      <c r="Z26" s="111" t="s">
        <v>332</v>
      </c>
      <c r="AA26" s="111" t="s">
        <v>333</v>
      </c>
    </row>
    <row r="27" spans="1:27" ht="15" customHeight="1" thickBot="1">
      <c r="D27" s="138" t="s">
        <v>152</v>
      </c>
      <c r="E27" s="138"/>
      <c r="F27" s="121">
        <f>SUM(N8:N9)/SUM(O8:O9)</f>
        <v>0.75000000000000011</v>
      </c>
      <c r="G27" s="91"/>
      <c r="U27" s="110" t="s">
        <v>692</v>
      </c>
      <c r="W27" s="111" t="s">
        <v>365</v>
      </c>
      <c r="X27" s="111" t="s">
        <v>366</v>
      </c>
      <c r="Z27" s="111" t="s">
        <v>332</v>
      </c>
      <c r="AA27" s="111" t="s">
        <v>334</v>
      </c>
    </row>
    <row r="28" spans="1:27" ht="15" customHeight="1" thickBot="1">
      <c r="D28" s="138" t="s">
        <v>153</v>
      </c>
      <c r="E28" s="138"/>
      <c r="F28" s="119">
        <f>SUM(N10)/SUM(O10)</f>
        <v>1</v>
      </c>
      <c r="G28" s="91"/>
      <c r="U28" s="110" t="s">
        <v>711</v>
      </c>
      <c r="W28" s="111" t="s">
        <v>365</v>
      </c>
      <c r="X28" s="111" t="s">
        <v>369</v>
      </c>
      <c r="Z28" s="111" t="s">
        <v>332</v>
      </c>
      <c r="AA28" s="111" t="s">
        <v>390</v>
      </c>
    </row>
    <row r="29" spans="1:27" ht="15" customHeight="1">
      <c r="D29" s="138" t="s">
        <v>154</v>
      </c>
      <c r="E29" s="138"/>
      <c r="F29" s="119">
        <f>SUM(N12,N14)/SUM(O12,O14)</f>
        <v>1</v>
      </c>
      <c r="W29" s="111" t="s">
        <v>370</v>
      </c>
      <c r="X29" s="111" t="s">
        <v>371</v>
      </c>
      <c r="Z29" s="111" t="s">
        <v>332</v>
      </c>
      <c r="AA29" s="111" t="s">
        <v>391</v>
      </c>
    </row>
    <row r="30" spans="1:27" ht="15" customHeight="1">
      <c r="D30" s="120"/>
      <c r="E30" s="120"/>
      <c r="W30" s="111" t="s">
        <v>370</v>
      </c>
      <c r="X30" s="111" t="s">
        <v>375</v>
      </c>
      <c r="Z30" s="111" t="s">
        <v>335</v>
      </c>
      <c r="AA30" s="111" t="s">
        <v>336</v>
      </c>
    </row>
    <row r="31" spans="1:27" ht="15" customHeight="1">
      <c r="B31" s="140"/>
      <c r="D31" s="122" t="s">
        <v>313</v>
      </c>
      <c r="E31" s="122"/>
      <c r="F31" s="123" t="s">
        <v>140</v>
      </c>
      <c r="W31" s="111" t="s">
        <v>370</v>
      </c>
      <c r="X31" s="111" t="s">
        <v>324</v>
      </c>
      <c r="Z31" s="111" t="s">
        <v>404</v>
      </c>
      <c r="AA31" s="111" t="s">
        <v>405</v>
      </c>
    </row>
    <row r="32" spans="1:27" ht="15" customHeight="1">
      <c r="D32" s="104" t="s">
        <v>296</v>
      </c>
      <c r="E32" s="124" t="s">
        <v>313</v>
      </c>
      <c r="F32" s="125"/>
      <c r="W32" s="111" t="s">
        <v>370</v>
      </c>
      <c r="X32" s="111" t="s">
        <v>383</v>
      </c>
      <c r="Z32" s="111" t="s">
        <v>404</v>
      </c>
      <c r="AA32" s="111" t="s">
        <v>406</v>
      </c>
    </row>
    <row r="33" spans="2:27" ht="15" customHeight="1">
      <c r="D33" s="104" t="s">
        <v>297</v>
      </c>
      <c r="E33" s="124" t="s">
        <v>313</v>
      </c>
      <c r="F33" s="125"/>
      <c r="W33" s="111" t="s">
        <v>370</v>
      </c>
      <c r="X33" s="111" t="s">
        <v>385</v>
      </c>
      <c r="Z33" s="111" t="s">
        <v>404</v>
      </c>
      <c r="AA33" s="111" t="s">
        <v>407</v>
      </c>
    </row>
    <row r="34" spans="2:27" ht="15" customHeight="1">
      <c r="D34" s="104" t="s">
        <v>298</v>
      </c>
      <c r="E34" s="124" t="s">
        <v>313</v>
      </c>
      <c r="F34" s="125"/>
      <c r="W34" s="111" t="s">
        <v>388</v>
      </c>
      <c r="X34" s="111" t="s">
        <v>330</v>
      </c>
      <c r="Z34" s="111" t="s">
        <v>404</v>
      </c>
      <c r="AA34" s="111" t="s">
        <v>408</v>
      </c>
    </row>
    <row r="35" spans="2:27" ht="15" customHeight="1">
      <c r="B35" s="126"/>
      <c r="D35" s="104" t="s">
        <v>299</v>
      </c>
      <c r="E35" s="124" t="s">
        <v>313</v>
      </c>
      <c r="F35" s="125"/>
      <c r="W35" s="111" t="s">
        <v>388</v>
      </c>
      <c r="X35" s="111" t="s">
        <v>332</v>
      </c>
      <c r="Z35" s="111" t="s">
        <v>404</v>
      </c>
      <c r="AA35" s="111" t="s">
        <v>409</v>
      </c>
    </row>
    <row r="36" spans="2:27" ht="15" customHeight="1">
      <c r="D36" s="105" t="s">
        <v>300</v>
      </c>
      <c r="E36" s="124" t="s">
        <v>313</v>
      </c>
      <c r="F36" s="125"/>
      <c r="W36" s="111" t="s">
        <v>388</v>
      </c>
      <c r="X36" s="111" t="s">
        <v>343</v>
      </c>
      <c r="Z36" s="111" t="s">
        <v>404</v>
      </c>
      <c r="AA36" s="111" t="s">
        <v>410</v>
      </c>
    </row>
    <row r="37" spans="2:27" ht="102">
      <c r="B37" s="92" t="s">
        <v>769</v>
      </c>
      <c r="D37" s="104" t="s">
        <v>301</v>
      </c>
      <c r="E37" s="124" t="s">
        <v>313</v>
      </c>
      <c r="F37" s="125"/>
      <c r="W37" s="111" t="s">
        <v>388</v>
      </c>
      <c r="X37" s="111" t="s">
        <v>345</v>
      </c>
      <c r="Z37" s="111" t="s">
        <v>404</v>
      </c>
      <c r="AA37" s="111" t="s">
        <v>411</v>
      </c>
    </row>
    <row r="38" spans="2:27" ht="15" customHeight="1">
      <c r="D38" s="104" t="s">
        <v>302</v>
      </c>
      <c r="E38" s="124" t="s">
        <v>313</v>
      </c>
      <c r="F38" s="125"/>
      <c r="W38" s="111" t="s">
        <v>388</v>
      </c>
      <c r="X38" s="111" t="s">
        <v>347</v>
      </c>
      <c r="Z38" s="111" t="s">
        <v>350</v>
      </c>
      <c r="AA38" s="111" t="s">
        <v>351</v>
      </c>
    </row>
    <row r="39" spans="2:27" ht="15" customHeight="1">
      <c r="D39" s="104" t="s">
        <v>315</v>
      </c>
      <c r="E39" s="124" t="s">
        <v>313</v>
      </c>
      <c r="F39" s="125"/>
      <c r="W39" s="111" t="s">
        <v>396</v>
      </c>
      <c r="X39" s="111" t="s">
        <v>397</v>
      </c>
      <c r="Z39" s="111" t="s">
        <v>366</v>
      </c>
      <c r="AA39" s="111" t="s">
        <v>367</v>
      </c>
    </row>
    <row r="40" spans="2:27" ht="15" customHeight="1">
      <c r="D40" s="104" t="s">
        <v>316</v>
      </c>
      <c r="E40" s="124" t="s">
        <v>313</v>
      </c>
      <c r="F40" s="125"/>
      <c r="W40" s="111" t="s">
        <v>399</v>
      </c>
      <c r="X40" s="111" t="s">
        <v>400</v>
      </c>
      <c r="Z40" s="111" t="s">
        <v>366</v>
      </c>
      <c r="AA40" s="111" t="s">
        <v>368</v>
      </c>
    </row>
    <row r="41" spans="2:27" ht="15" customHeight="1">
      <c r="W41" s="111" t="s">
        <v>403</v>
      </c>
      <c r="X41" s="111" t="s">
        <v>404</v>
      </c>
      <c r="Z41" s="111" t="s">
        <v>559</v>
      </c>
      <c r="AA41" s="111" t="s">
        <v>560</v>
      </c>
    </row>
    <row r="42" spans="2:27" ht="15" customHeight="1">
      <c r="W42" s="111" t="s">
        <v>403</v>
      </c>
      <c r="X42" s="111" t="s">
        <v>412</v>
      </c>
      <c r="Z42" s="111" t="s">
        <v>559</v>
      </c>
      <c r="AA42" s="111" t="s">
        <v>561</v>
      </c>
    </row>
    <row r="43" spans="2:27" ht="15" customHeight="1">
      <c r="W43" s="111" t="s">
        <v>403</v>
      </c>
      <c r="X43" s="111" t="s">
        <v>417</v>
      </c>
      <c r="Z43" s="111" t="s">
        <v>559</v>
      </c>
      <c r="AA43" s="111" t="s">
        <v>562</v>
      </c>
    </row>
    <row r="44" spans="2:27" ht="15" customHeight="1">
      <c r="W44" s="111" t="s">
        <v>420</v>
      </c>
      <c r="X44" s="111" t="s">
        <v>421</v>
      </c>
      <c r="Z44" s="111" t="s">
        <v>559</v>
      </c>
      <c r="AA44" s="111" t="s">
        <v>563</v>
      </c>
    </row>
    <row r="45" spans="2:27" ht="15" customHeight="1">
      <c r="W45" s="111" t="s">
        <v>420</v>
      </c>
      <c r="X45" s="111" t="s">
        <v>423</v>
      </c>
      <c r="Z45" s="111" t="s">
        <v>321</v>
      </c>
      <c r="AA45" s="111" t="s">
        <v>322</v>
      </c>
    </row>
    <row r="46" spans="2:27" ht="15" customHeight="1">
      <c r="W46" s="111" t="s">
        <v>428</v>
      </c>
      <c r="X46" s="111" t="s">
        <v>429</v>
      </c>
      <c r="Z46" s="111" t="s">
        <v>453</v>
      </c>
      <c r="AA46" s="111" t="s">
        <v>454</v>
      </c>
    </row>
    <row r="47" spans="2:27" ht="15" customHeight="1">
      <c r="W47" s="111" t="s">
        <v>428</v>
      </c>
      <c r="X47" s="111" t="s">
        <v>431</v>
      </c>
      <c r="Z47" s="111" t="s">
        <v>495</v>
      </c>
      <c r="AA47" s="111" t="s">
        <v>496</v>
      </c>
    </row>
    <row r="48" spans="2:27" ht="15" customHeight="1">
      <c r="W48" s="111" t="s">
        <v>433</v>
      </c>
      <c r="X48" s="111" t="s">
        <v>434</v>
      </c>
      <c r="Z48" s="111" t="s">
        <v>495</v>
      </c>
      <c r="AA48" s="111" t="s">
        <v>497</v>
      </c>
    </row>
    <row r="49" spans="23:27" ht="15" customHeight="1">
      <c r="W49" s="111" t="s">
        <v>433</v>
      </c>
      <c r="X49" s="111" t="s">
        <v>436</v>
      </c>
      <c r="Z49" s="111" t="s">
        <v>495</v>
      </c>
      <c r="AA49" s="111" t="s">
        <v>498</v>
      </c>
    </row>
    <row r="50" spans="23:27" ht="15.75" customHeight="1">
      <c r="W50" s="111" t="s">
        <v>433</v>
      </c>
      <c r="X50" s="111" t="s">
        <v>438</v>
      </c>
      <c r="Z50" s="111" t="s">
        <v>495</v>
      </c>
      <c r="AA50" s="111" t="s">
        <v>499</v>
      </c>
    </row>
    <row r="51" spans="23:27" ht="15" customHeight="1">
      <c r="W51" s="111" t="s">
        <v>433</v>
      </c>
      <c r="X51" s="111" t="s">
        <v>440</v>
      </c>
      <c r="Z51" s="111" t="s">
        <v>495</v>
      </c>
      <c r="AA51" s="111" t="s">
        <v>500</v>
      </c>
    </row>
    <row r="52" spans="23:27" ht="15" customHeight="1">
      <c r="W52" s="111" t="s">
        <v>433</v>
      </c>
      <c r="X52" s="111" t="s">
        <v>442</v>
      </c>
      <c r="Z52" s="111" t="s">
        <v>495</v>
      </c>
      <c r="AA52" s="111" t="s">
        <v>501</v>
      </c>
    </row>
    <row r="53" spans="23:27" ht="15" customHeight="1">
      <c r="W53" s="111" t="s">
        <v>433</v>
      </c>
      <c r="X53" s="111" t="s">
        <v>447</v>
      </c>
      <c r="Z53" s="111" t="s">
        <v>495</v>
      </c>
      <c r="AA53" s="111" t="s">
        <v>502</v>
      </c>
    </row>
    <row r="54" spans="23:27" ht="15" customHeight="1">
      <c r="W54" s="111" t="s">
        <v>433</v>
      </c>
      <c r="X54" s="111" t="s">
        <v>449</v>
      </c>
      <c r="Z54" s="111" t="s">
        <v>495</v>
      </c>
      <c r="AA54" s="111" t="s">
        <v>503</v>
      </c>
    </row>
    <row r="55" spans="23:27" ht="15" customHeight="1">
      <c r="W55" s="111" t="s">
        <v>452</v>
      </c>
      <c r="X55" s="111" t="s">
        <v>453</v>
      </c>
      <c r="Z55" s="111" t="s">
        <v>495</v>
      </c>
      <c r="AA55" s="111" t="s">
        <v>504</v>
      </c>
    </row>
    <row r="56" spans="23:27" ht="15" customHeight="1">
      <c r="W56" s="111" t="s">
        <v>452</v>
      </c>
      <c r="X56" s="111" t="s">
        <v>200</v>
      </c>
      <c r="Z56" s="111" t="s">
        <v>654</v>
      </c>
      <c r="AA56" s="111" t="s">
        <v>655</v>
      </c>
    </row>
    <row r="57" spans="23:27" ht="15" customHeight="1">
      <c r="W57" s="111" t="s">
        <v>452</v>
      </c>
      <c r="X57" s="111" t="s">
        <v>463</v>
      </c>
      <c r="Z57" s="111" t="s">
        <v>654</v>
      </c>
      <c r="AA57" s="111" t="s">
        <v>656</v>
      </c>
    </row>
    <row r="58" spans="23:27" ht="15" customHeight="1">
      <c r="W58" s="111" t="s">
        <v>452</v>
      </c>
      <c r="X58" s="111" t="s">
        <v>466</v>
      </c>
      <c r="Z58" s="111" t="s">
        <v>505</v>
      </c>
      <c r="AA58" s="111" t="s">
        <v>506</v>
      </c>
    </row>
    <row r="59" spans="23:27" ht="15" customHeight="1">
      <c r="W59" s="111" t="s">
        <v>452</v>
      </c>
      <c r="X59" s="111" t="s">
        <v>473</v>
      </c>
      <c r="Z59" s="111" t="s">
        <v>505</v>
      </c>
      <c r="AA59" s="111" t="s">
        <v>507</v>
      </c>
    </row>
    <row r="60" spans="23:27" ht="15" customHeight="1">
      <c r="W60" s="111" t="s">
        <v>452</v>
      </c>
      <c r="X60" s="111" t="s">
        <v>483</v>
      </c>
      <c r="Z60" s="111" t="s">
        <v>505</v>
      </c>
      <c r="AA60" s="111" t="s">
        <v>508</v>
      </c>
    </row>
    <row r="61" spans="23:27" ht="15" customHeight="1">
      <c r="W61" s="111" t="s">
        <v>452</v>
      </c>
      <c r="X61" s="111" t="s">
        <v>489</v>
      </c>
      <c r="Z61" s="111" t="s">
        <v>505</v>
      </c>
      <c r="AA61" s="111" t="s">
        <v>509</v>
      </c>
    </row>
    <row r="62" spans="23:27" ht="15" customHeight="1">
      <c r="W62" s="111" t="s">
        <v>494</v>
      </c>
      <c r="X62" s="111" t="s">
        <v>495</v>
      </c>
      <c r="Z62" s="111" t="s">
        <v>505</v>
      </c>
      <c r="AA62" s="111" t="s">
        <v>510</v>
      </c>
    </row>
    <row r="63" spans="23:27" ht="15" customHeight="1">
      <c r="W63" s="111" t="s">
        <v>494</v>
      </c>
      <c r="X63" s="111" t="s">
        <v>505</v>
      </c>
      <c r="Z63" s="111" t="s">
        <v>657</v>
      </c>
      <c r="AA63" s="111" t="s">
        <v>658</v>
      </c>
    </row>
    <row r="64" spans="23:27" ht="15" customHeight="1">
      <c r="W64" s="111" t="s">
        <v>494</v>
      </c>
      <c r="X64" s="111" t="s">
        <v>511</v>
      </c>
      <c r="Z64" s="111" t="s">
        <v>434</v>
      </c>
      <c r="AA64" s="111" t="s">
        <v>435</v>
      </c>
    </row>
    <row r="65" spans="23:27" ht="15" customHeight="1">
      <c r="W65" s="111" t="s">
        <v>528</v>
      </c>
      <c r="X65" s="111" t="s">
        <v>529</v>
      </c>
      <c r="Z65" s="111" t="s">
        <v>200</v>
      </c>
      <c r="AA65" s="111" t="s">
        <v>455</v>
      </c>
    </row>
    <row r="66" spans="23:27" ht="15" customHeight="1">
      <c r="W66" s="111" t="s">
        <v>528</v>
      </c>
      <c r="X66" s="111" t="s">
        <v>532</v>
      </c>
      <c r="Z66" s="111" t="s">
        <v>200</v>
      </c>
      <c r="AA66" s="111" t="s">
        <v>456</v>
      </c>
    </row>
    <row r="67" spans="23:27" ht="15" customHeight="1">
      <c r="W67" s="111" t="s">
        <v>541</v>
      </c>
      <c r="X67" s="111" t="s">
        <v>542</v>
      </c>
      <c r="Z67" s="111" t="s">
        <v>200</v>
      </c>
      <c r="AA67" s="111" t="s">
        <v>353</v>
      </c>
    </row>
    <row r="68" spans="23:27" ht="15" customHeight="1">
      <c r="W68" s="111" t="s">
        <v>541</v>
      </c>
      <c r="X68" s="111" t="s">
        <v>549</v>
      </c>
      <c r="Z68" s="111" t="s">
        <v>200</v>
      </c>
      <c r="AA68" s="111" t="s">
        <v>457</v>
      </c>
    </row>
    <row r="69" spans="23:27" ht="15" customHeight="1">
      <c r="W69" s="111" t="s">
        <v>541</v>
      </c>
      <c r="X69" s="111" t="s">
        <v>553</v>
      </c>
      <c r="Z69" s="111" t="s">
        <v>200</v>
      </c>
      <c r="AA69" s="111" t="s">
        <v>458</v>
      </c>
    </row>
    <row r="70" spans="23:27" ht="15" customHeight="1">
      <c r="W70" s="111" t="s">
        <v>555</v>
      </c>
      <c r="X70" s="111" t="s">
        <v>556</v>
      </c>
      <c r="Z70" s="111" t="s">
        <v>200</v>
      </c>
      <c r="AA70" s="111" t="s">
        <v>459</v>
      </c>
    </row>
    <row r="71" spans="23:27" ht="15" customHeight="1">
      <c r="W71" s="111" t="s">
        <v>558</v>
      </c>
      <c r="X71" s="111" t="s">
        <v>559</v>
      </c>
      <c r="Z71" s="111" t="s">
        <v>200</v>
      </c>
      <c r="AA71" s="111" t="s">
        <v>460</v>
      </c>
    </row>
    <row r="72" spans="23:27" ht="15" customHeight="1">
      <c r="W72" s="111" t="s">
        <v>558</v>
      </c>
      <c r="X72" s="111" t="s">
        <v>564</v>
      </c>
      <c r="Z72" s="111" t="s">
        <v>200</v>
      </c>
      <c r="AA72" s="111" t="s">
        <v>461</v>
      </c>
    </row>
    <row r="73" spans="23:27" ht="15" customHeight="1">
      <c r="W73" s="111" t="s">
        <v>558</v>
      </c>
      <c r="X73" s="111" t="s">
        <v>567</v>
      </c>
      <c r="Z73" s="111" t="s">
        <v>200</v>
      </c>
      <c r="AA73" s="111" t="s">
        <v>462</v>
      </c>
    </row>
    <row r="74" spans="23:27" ht="15" customHeight="1">
      <c r="W74" s="111" t="s">
        <v>558</v>
      </c>
      <c r="X74" s="111" t="s">
        <v>569</v>
      </c>
      <c r="Z74" s="111" t="s">
        <v>352</v>
      </c>
      <c r="AA74" s="111" t="s">
        <v>353</v>
      </c>
    </row>
    <row r="75" spans="23:27" ht="15" customHeight="1">
      <c r="W75" s="111" t="s">
        <v>558</v>
      </c>
      <c r="X75" s="111" t="s">
        <v>574</v>
      </c>
      <c r="Z75" s="111" t="s">
        <v>354</v>
      </c>
      <c r="AA75" s="111" t="s">
        <v>355</v>
      </c>
    </row>
    <row r="76" spans="23:27" ht="15" customHeight="1">
      <c r="W76" s="111" t="s">
        <v>558</v>
      </c>
      <c r="X76" s="111" t="s">
        <v>576</v>
      </c>
      <c r="Z76" s="111" t="s">
        <v>369</v>
      </c>
      <c r="AA76" s="111" t="s">
        <v>367</v>
      </c>
    </row>
    <row r="77" spans="23:27" ht="15" customHeight="1">
      <c r="W77" s="111" t="s">
        <v>579</v>
      </c>
      <c r="X77" s="111" t="s">
        <v>580</v>
      </c>
      <c r="Z77" s="111" t="s">
        <v>369</v>
      </c>
      <c r="AA77" s="111" t="s">
        <v>368</v>
      </c>
    </row>
    <row r="78" spans="23:27" ht="15" customHeight="1">
      <c r="W78" s="111" t="s">
        <v>579</v>
      </c>
      <c r="X78" s="111" t="s">
        <v>582</v>
      </c>
      <c r="Z78" s="111" t="s">
        <v>463</v>
      </c>
      <c r="AA78" s="111" t="s">
        <v>464</v>
      </c>
    </row>
    <row r="79" spans="23:27" ht="15" customHeight="1">
      <c r="W79" s="111" t="s">
        <v>442</v>
      </c>
      <c r="X79" s="111" t="s">
        <v>584</v>
      </c>
      <c r="Z79" s="111" t="s">
        <v>463</v>
      </c>
      <c r="AA79" s="111" t="s">
        <v>465</v>
      </c>
    </row>
    <row r="80" spans="23:27" ht="15" customHeight="1">
      <c r="W80" s="111" t="s">
        <v>442</v>
      </c>
      <c r="X80" s="111" t="s">
        <v>587</v>
      </c>
      <c r="Z80" s="111" t="s">
        <v>463</v>
      </c>
      <c r="AA80" s="111" t="s">
        <v>659</v>
      </c>
    </row>
    <row r="81" spans="23:27" ht="15" customHeight="1">
      <c r="W81" s="111" t="s">
        <v>442</v>
      </c>
      <c r="X81" s="111" t="s">
        <v>594</v>
      </c>
      <c r="Z81" s="111" t="s">
        <v>564</v>
      </c>
      <c r="AA81" s="111" t="s">
        <v>565</v>
      </c>
    </row>
    <row r="82" spans="23:27" ht="15" customHeight="1">
      <c r="W82" s="111" t="s">
        <v>442</v>
      </c>
      <c r="X82" s="111" t="s">
        <v>609</v>
      </c>
      <c r="Z82" s="111" t="s">
        <v>564</v>
      </c>
      <c r="AA82" s="111" t="s">
        <v>566</v>
      </c>
    </row>
    <row r="83" spans="23:27" ht="15" customHeight="1">
      <c r="W83" s="111" t="s">
        <v>612</v>
      </c>
      <c r="X83" s="111" t="s">
        <v>613</v>
      </c>
      <c r="Z83" s="111" t="s">
        <v>567</v>
      </c>
      <c r="AA83" s="111" t="s">
        <v>568</v>
      </c>
    </row>
    <row r="84" spans="23:27" ht="15" customHeight="1">
      <c r="W84" s="111" t="s">
        <v>616</v>
      </c>
      <c r="X84" s="111" t="s">
        <v>617</v>
      </c>
      <c r="Z84" s="111" t="s">
        <v>337</v>
      </c>
      <c r="AA84" s="111" t="s">
        <v>338</v>
      </c>
    </row>
    <row r="85" spans="23:27" ht="15" customHeight="1">
      <c r="W85" s="111" t="s">
        <v>616</v>
      </c>
      <c r="X85" s="111" t="s">
        <v>619</v>
      </c>
      <c r="Z85" s="111" t="s">
        <v>337</v>
      </c>
      <c r="AA85" s="111" t="s">
        <v>339</v>
      </c>
    </row>
    <row r="86" spans="23:27" ht="15" customHeight="1">
      <c r="W86" s="111" t="s">
        <v>625</v>
      </c>
      <c r="X86" s="111" t="s">
        <v>626</v>
      </c>
      <c r="Z86" s="111" t="s">
        <v>337</v>
      </c>
      <c r="AA86" s="111" t="s">
        <v>340</v>
      </c>
    </row>
    <row r="87" spans="23:27" ht="15" customHeight="1">
      <c r="W87" s="111" t="s">
        <v>628</v>
      </c>
      <c r="X87" s="111" t="s">
        <v>629</v>
      </c>
      <c r="Z87" s="111" t="s">
        <v>421</v>
      </c>
      <c r="AA87" s="111" t="s">
        <v>422</v>
      </c>
    </row>
    <row r="88" spans="23:27" ht="15" customHeight="1">
      <c r="W88" s="111" t="s">
        <v>635</v>
      </c>
      <c r="X88" s="111" t="s">
        <v>636</v>
      </c>
      <c r="Z88" s="111" t="s">
        <v>423</v>
      </c>
      <c r="AA88" s="111" t="s">
        <v>424</v>
      </c>
    </row>
    <row r="89" spans="23:27" ht="15" customHeight="1">
      <c r="W89" s="111" t="s">
        <v>635</v>
      </c>
      <c r="X89" s="111" t="s">
        <v>639</v>
      </c>
      <c r="Z89" s="111" t="s">
        <v>423</v>
      </c>
      <c r="AA89" s="111" t="s">
        <v>425</v>
      </c>
    </row>
    <row r="90" spans="23:27" ht="15" customHeight="1">
      <c r="W90" s="111" t="s">
        <v>635</v>
      </c>
      <c r="X90" s="111" t="s">
        <v>646</v>
      </c>
      <c r="Z90" s="111" t="s">
        <v>423</v>
      </c>
      <c r="AA90" s="111" t="s">
        <v>426</v>
      </c>
    </row>
    <row r="91" spans="23:27" ht="15" customHeight="1">
      <c r="W91" s="111" t="s">
        <v>648</v>
      </c>
      <c r="X91" s="111" t="s">
        <v>649</v>
      </c>
      <c r="Z91" s="111" t="s">
        <v>423</v>
      </c>
      <c r="AA91" s="111" t="s">
        <v>427</v>
      </c>
    </row>
    <row r="92" spans="23:27" ht="15" customHeight="1">
      <c r="W92" s="111" t="s">
        <v>648</v>
      </c>
      <c r="X92" s="111" t="s">
        <v>654</v>
      </c>
      <c r="Z92" s="111" t="s">
        <v>341</v>
      </c>
      <c r="AA92" s="111" t="s">
        <v>342</v>
      </c>
    </row>
    <row r="93" spans="23:27" ht="15" customHeight="1">
      <c r="W93" s="111" t="s">
        <v>648</v>
      </c>
      <c r="X93" s="111" t="s">
        <v>657</v>
      </c>
      <c r="Z93" s="111" t="s">
        <v>343</v>
      </c>
      <c r="AA93" s="111" t="s">
        <v>392</v>
      </c>
    </row>
    <row r="94" spans="23:27" ht="15" customHeight="1">
      <c r="W94" s="111" t="s">
        <v>648</v>
      </c>
      <c r="X94" s="111" t="s">
        <v>463</v>
      </c>
      <c r="Z94" s="111" t="s">
        <v>343</v>
      </c>
      <c r="AA94" s="111" t="s">
        <v>344</v>
      </c>
    </row>
    <row r="95" spans="23:27" ht="15" customHeight="1">
      <c r="W95" s="111" t="s">
        <v>648</v>
      </c>
      <c r="X95" s="111" t="s">
        <v>660</v>
      </c>
      <c r="Z95" s="111" t="s">
        <v>636</v>
      </c>
      <c r="AA95" s="111" t="s">
        <v>637</v>
      </c>
    </row>
    <row r="96" spans="23:27" ht="15" customHeight="1">
      <c r="W96" s="111" t="s">
        <v>648</v>
      </c>
      <c r="X96" s="111" t="s">
        <v>662</v>
      </c>
      <c r="Z96" s="111" t="s">
        <v>636</v>
      </c>
      <c r="AA96" s="111" t="s">
        <v>638</v>
      </c>
    </row>
    <row r="97" spans="23:27" ht="15" customHeight="1">
      <c r="W97" s="111" t="s">
        <v>648</v>
      </c>
      <c r="X97" s="111" t="s">
        <v>664</v>
      </c>
      <c r="Z97" s="111" t="s">
        <v>569</v>
      </c>
      <c r="AA97" s="111" t="s">
        <v>570</v>
      </c>
    </row>
    <row r="98" spans="23:27" ht="15" customHeight="1">
      <c r="W98" s="111" t="s">
        <v>648</v>
      </c>
      <c r="X98" s="111" t="s">
        <v>666</v>
      </c>
      <c r="Z98" s="111" t="s">
        <v>569</v>
      </c>
      <c r="AA98" s="111" t="s">
        <v>571</v>
      </c>
    </row>
    <row r="99" spans="23:27" ht="15" customHeight="1">
      <c r="W99" s="111" t="s">
        <v>648</v>
      </c>
      <c r="X99" s="111" t="s">
        <v>677</v>
      </c>
      <c r="Z99" s="111" t="s">
        <v>569</v>
      </c>
      <c r="AA99" s="111" t="s">
        <v>572</v>
      </c>
    </row>
    <row r="100" spans="23:27" ht="15" customHeight="1">
      <c r="W100" s="111" t="s">
        <v>648</v>
      </c>
      <c r="X100" s="111" t="s">
        <v>553</v>
      </c>
      <c r="Z100" s="111" t="s">
        <v>569</v>
      </c>
      <c r="AA100" s="111" t="s">
        <v>573</v>
      </c>
    </row>
    <row r="101" spans="23:27" ht="15" customHeight="1">
      <c r="W101" s="111" t="s">
        <v>648</v>
      </c>
      <c r="X101" s="111" t="s">
        <v>680</v>
      </c>
      <c r="Z101" s="111" t="s">
        <v>584</v>
      </c>
      <c r="AA101" s="111" t="s">
        <v>585</v>
      </c>
    </row>
    <row r="102" spans="23:27" ht="15" customHeight="1">
      <c r="W102" s="111" t="s">
        <v>648</v>
      </c>
      <c r="X102" s="111" t="s">
        <v>684</v>
      </c>
      <c r="Z102" s="111" t="s">
        <v>584</v>
      </c>
      <c r="AA102" s="111" t="s">
        <v>586</v>
      </c>
    </row>
    <row r="103" spans="23:27" ht="15" customHeight="1">
      <c r="W103" s="111" t="s">
        <v>687</v>
      </c>
      <c r="X103" s="111" t="s">
        <v>594</v>
      </c>
      <c r="Z103" s="111" t="s">
        <v>466</v>
      </c>
      <c r="AA103" s="111" t="s">
        <v>467</v>
      </c>
    </row>
    <row r="104" spans="23:27" ht="15" customHeight="1">
      <c r="W104" s="111" t="s">
        <v>687</v>
      </c>
      <c r="X104" s="111" t="s">
        <v>690</v>
      </c>
      <c r="Z104" s="111" t="s">
        <v>466</v>
      </c>
      <c r="AA104" s="111" t="s">
        <v>468</v>
      </c>
    </row>
    <row r="105" spans="23:27" ht="15" customHeight="1">
      <c r="W105" s="111" t="s">
        <v>692</v>
      </c>
      <c r="X105" s="111" t="s">
        <v>555</v>
      </c>
      <c r="Z105" s="111" t="s">
        <v>466</v>
      </c>
      <c r="AA105" s="111" t="s">
        <v>469</v>
      </c>
    </row>
    <row r="106" spans="23:27" ht="15" customHeight="1">
      <c r="W106" s="111" t="s">
        <v>692</v>
      </c>
      <c r="X106" s="111" t="s">
        <v>694</v>
      </c>
      <c r="Z106" s="111" t="s">
        <v>466</v>
      </c>
      <c r="AA106" s="111" t="s">
        <v>470</v>
      </c>
    </row>
    <row r="107" spans="23:27" ht="15" customHeight="1">
      <c r="W107" s="111"/>
      <c r="X107" s="111"/>
      <c r="Z107" s="111" t="s">
        <v>466</v>
      </c>
      <c r="AA107" s="111" t="s">
        <v>471</v>
      </c>
    </row>
    <row r="108" spans="23:27" ht="15" customHeight="1">
      <c r="W108" s="111"/>
      <c r="X108" s="111"/>
      <c r="Z108" s="111" t="s">
        <v>466</v>
      </c>
      <c r="AA108" s="111" t="s">
        <v>472</v>
      </c>
    </row>
    <row r="109" spans="23:27" ht="15" customHeight="1">
      <c r="W109" s="111"/>
      <c r="X109" s="111"/>
      <c r="Z109" s="111" t="s">
        <v>511</v>
      </c>
      <c r="AA109" s="111" t="s">
        <v>512</v>
      </c>
    </row>
    <row r="110" spans="23:27" ht="15" customHeight="1">
      <c r="W110" s="111"/>
      <c r="X110" s="111"/>
      <c r="Z110" s="111" t="s">
        <v>511</v>
      </c>
      <c r="AA110" s="111" t="s">
        <v>513</v>
      </c>
    </row>
    <row r="111" spans="23:27" ht="15" customHeight="1">
      <c r="W111" s="111"/>
      <c r="X111" s="111"/>
      <c r="Z111" s="111" t="s">
        <v>511</v>
      </c>
      <c r="AA111" s="111" t="s">
        <v>514</v>
      </c>
    </row>
    <row r="112" spans="23:27" ht="15" customHeight="1">
      <c r="W112" s="111"/>
      <c r="X112" s="111"/>
      <c r="Z112" s="111" t="s">
        <v>511</v>
      </c>
      <c r="AA112" s="111" t="s">
        <v>515</v>
      </c>
    </row>
    <row r="113" spans="23:27" ht="15" customHeight="1">
      <c r="W113" s="111"/>
      <c r="X113" s="111"/>
      <c r="Z113" s="111" t="s">
        <v>511</v>
      </c>
      <c r="AA113" s="111" t="s">
        <v>516</v>
      </c>
    </row>
    <row r="114" spans="23:27" ht="15" customHeight="1">
      <c r="W114" s="111"/>
      <c r="X114" s="111"/>
      <c r="Z114" s="111" t="s">
        <v>511</v>
      </c>
      <c r="AA114" s="111" t="s">
        <v>517</v>
      </c>
    </row>
    <row r="115" spans="23:27" ht="15" customHeight="1">
      <c r="W115" s="111"/>
      <c r="X115" s="111"/>
      <c r="Z115" s="111" t="s">
        <v>511</v>
      </c>
      <c r="AA115" s="111" t="s">
        <v>518</v>
      </c>
    </row>
    <row r="116" spans="23:27" ht="15" customHeight="1">
      <c r="W116" s="111"/>
      <c r="X116" s="111"/>
      <c r="Z116" s="111" t="s">
        <v>511</v>
      </c>
      <c r="AA116" s="111" t="s">
        <v>519</v>
      </c>
    </row>
    <row r="117" spans="23:27" ht="15" customHeight="1">
      <c r="W117" s="111"/>
      <c r="X117" s="111"/>
      <c r="Z117" s="111" t="s">
        <v>511</v>
      </c>
      <c r="AA117" s="111" t="s">
        <v>520</v>
      </c>
    </row>
    <row r="118" spans="23:27" ht="15" customHeight="1">
      <c r="W118" s="111"/>
      <c r="X118" s="111"/>
      <c r="Z118" s="111" t="s">
        <v>511</v>
      </c>
      <c r="AA118" s="111" t="s">
        <v>521</v>
      </c>
    </row>
    <row r="119" spans="23:27" ht="15" customHeight="1">
      <c r="W119" s="111"/>
      <c r="X119" s="111"/>
      <c r="Z119" s="111" t="s">
        <v>511</v>
      </c>
      <c r="AA119" s="111" t="s">
        <v>522</v>
      </c>
    </row>
    <row r="120" spans="23:27" ht="15" customHeight="1">
      <c r="W120" s="111"/>
      <c r="X120" s="111"/>
      <c r="Z120" s="111" t="s">
        <v>511</v>
      </c>
      <c r="AA120" s="111" t="s">
        <v>523</v>
      </c>
    </row>
    <row r="121" spans="23:27" ht="15" customHeight="1">
      <c r="W121" s="111"/>
      <c r="X121" s="111"/>
      <c r="Z121" s="111" t="s">
        <v>511</v>
      </c>
      <c r="AA121" s="111" t="s">
        <v>524</v>
      </c>
    </row>
    <row r="122" spans="23:27" ht="15" customHeight="1">
      <c r="W122" s="111"/>
      <c r="X122" s="111"/>
      <c r="Z122" s="111" t="s">
        <v>511</v>
      </c>
      <c r="AA122" s="111" t="s">
        <v>525</v>
      </c>
    </row>
    <row r="123" spans="23:27" ht="15" customHeight="1">
      <c r="W123" s="111"/>
      <c r="X123" s="111"/>
      <c r="Z123" s="111" t="s">
        <v>511</v>
      </c>
      <c r="AA123" s="111" t="s">
        <v>526</v>
      </c>
    </row>
    <row r="124" spans="23:27" ht="15" customHeight="1">
      <c r="W124" s="111"/>
      <c r="X124" s="111"/>
      <c r="Z124" s="111" t="s">
        <v>511</v>
      </c>
      <c r="AA124" s="111" t="s">
        <v>527</v>
      </c>
    </row>
    <row r="125" spans="23:27" ht="15" customHeight="1">
      <c r="W125" s="111"/>
      <c r="X125" s="111"/>
      <c r="Z125" s="111" t="s">
        <v>436</v>
      </c>
      <c r="AA125" s="111" t="s">
        <v>437</v>
      </c>
    </row>
    <row r="126" spans="23:27" ht="15" customHeight="1">
      <c r="W126" s="111"/>
      <c r="X126" s="111"/>
      <c r="Z126" s="111" t="s">
        <v>574</v>
      </c>
      <c r="AA126" s="111" t="s">
        <v>575</v>
      </c>
    </row>
    <row r="127" spans="23:27" ht="15" customHeight="1">
      <c r="W127" s="111"/>
      <c r="X127" s="111"/>
      <c r="Z127" s="111" t="s">
        <v>400</v>
      </c>
      <c r="AA127" s="111" t="s">
        <v>401</v>
      </c>
    </row>
    <row r="128" spans="23:27" ht="15" customHeight="1">
      <c r="W128" s="111"/>
      <c r="X128" s="111"/>
      <c r="Z128" s="111" t="s">
        <v>400</v>
      </c>
      <c r="AA128" s="111" t="s">
        <v>402</v>
      </c>
    </row>
    <row r="129" spans="23:27" ht="15" customHeight="1">
      <c r="W129" s="111"/>
      <c r="X129" s="111"/>
      <c r="Z129" s="111" t="s">
        <v>438</v>
      </c>
      <c r="AA129" s="111" t="s">
        <v>439</v>
      </c>
    </row>
    <row r="130" spans="23:27" ht="15" customHeight="1">
      <c r="W130" s="111"/>
      <c r="X130" s="111"/>
      <c r="Z130" s="111" t="s">
        <v>356</v>
      </c>
      <c r="AA130" s="111" t="s">
        <v>357</v>
      </c>
    </row>
    <row r="131" spans="23:27" ht="15" customHeight="1">
      <c r="W131" s="111"/>
      <c r="X131" s="111"/>
      <c r="Z131" s="111" t="s">
        <v>356</v>
      </c>
      <c r="AA131" s="111" t="s">
        <v>358</v>
      </c>
    </row>
    <row r="132" spans="23:27" ht="15" customHeight="1">
      <c r="W132" s="111"/>
      <c r="X132" s="111"/>
      <c r="Z132" s="111" t="s">
        <v>473</v>
      </c>
      <c r="AA132" s="111" t="s">
        <v>474</v>
      </c>
    </row>
    <row r="133" spans="23:27" ht="15" customHeight="1">
      <c r="W133" s="111"/>
      <c r="X133" s="111"/>
      <c r="Z133" s="111" t="s">
        <v>473</v>
      </c>
      <c r="AA133" s="111" t="s">
        <v>475</v>
      </c>
    </row>
    <row r="134" spans="23:27" ht="15" customHeight="1">
      <c r="W134" s="111"/>
      <c r="X134" s="111"/>
      <c r="Z134" s="111" t="s">
        <v>473</v>
      </c>
      <c r="AA134" s="111" t="s">
        <v>476</v>
      </c>
    </row>
    <row r="135" spans="23:27" ht="15" customHeight="1">
      <c r="W135" s="111"/>
      <c r="X135" s="111"/>
      <c r="Z135" s="111" t="s">
        <v>473</v>
      </c>
      <c r="AA135" s="111" t="s">
        <v>477</v>
      </c>
    </row>
    <row r="136" spans="23:27" ht="15" customHeight="1">
      <c r="W136" s="111"/>
      <c r="X136" s="111"/>
      <c r="Z136" s="111" t="s">
        <v>473</v>
      </c>
      <c r="AA136" s="111" t="s">
        <v>478</v>
      </c>
    </row>
    <row r="137" spans="23:27" ht="15" customHeight="1">
      <c r="W137" s="111"/>
      <c r="X137" s="111"/>
      <c r="Z137" s="111" t="s">
        <v>473</v>
      </c>
      <c r="AA137" s="111" t="s">
        <v>479</v>
      </c>
    </row>
    <row r="138" spans="23:27" ht="15" customHeight="1">
      <c r="W138" s="111"/>
      <c r="X138" s="111"/>
      <c r="Z138" s="111" t="s">
        <v>473</v>
      </c>
      <c r="AA138" s="111" t="s">
        <v>480</v>
      </c>
    </row>
    <row r="139" spans="23:27" ht="15" customHeight="1">
      <c r="W139" s="111"/>
      <c r="X139" s="111"/>
      <c r="Z139" s="111" t="s">
        <v>473</v>
      </c>
      <c r="AA139" s="111" t="s">
        <v>481</v>
      </c>
    </row>
    <row r="140" spans="23:27" ht="15" customHeight="1">
      <c r="W140" s="111"/>
      <c r="X140" s="111"/>
      <c r="Z140" s="111" t="s">
        <v>473</v>
      </c>
      <c r="AA140" s="111" t="s">
        <v>482</v>
      </c>
    </row>
    <row r="141" spans="23:27" ht="15" customHeight="1">
      <c r="W141" s="111"/>
      <c r="X141" s="111"/>
      <c r="Z141" s="111" t="s">
        <v>359</v>
      </c>
      <c r="AA141" s="111" t="s">
        <v>360</v>
      </c>
    </row>
    <row r="142" spans="23:27" ht="15" customHeight="1">
      <c r="W142" s="111"/>
      <c r="X142" s="111"/>
      <c r="Z142" s="111" t="s">
        <v>440</v>
      </c>
      <c r="AA142" s="111" t="s">
        <v>441</v>
      </c>
    </row>
    <row r="143" spans="23:27" ht="15" customHeight="1">
      <c r="W143" s="111"/>
      <c r="X143" s="111"/>
      <c r="Z143" s="111" t="s">
        <v>542</v>
      </c>
      <c r="AA143" s="111" t="s">
        <v>543</v>
      </c>
    </row>
    <row r="144" spans="23:27" ht="15" customHeight="1">
      <c r="W144" s="111"/>
      <c r="X144" s="111"/>
      <c r="Z144" s="111" t="s">
        <v>542</v>
      </c>
      <c r="AA144" s="111" t="s">
        <v>544</v>
      </c>
    </row>
    <row r="145" spans="23:27" ht="15" customHeight="1">
      <c r="W145" s="111"/>
      <c r="X145" s="111"/>
      <c r="Z145" s="111" t="s">
        <v>542</v>
      </c>
      <c r="AA145" s="111" t="s">
        <v>545</v>
      </c>
    </row>
    <row r="146" spans="23:27" ht="15" customHeight="1">
      <c r="W146" s="111"/>
      <c r="X146" s="111"/>
      <c r="Z146" s="111" t="s">
        <v>542</v>
      </c>
      <c r="AA146" s="111" t="s">
        <v>546</v>
      </c>
    </row>
    <row r="147" spans="23:27" ht="15" customHeight="1">
      <c r="W147" s="111"/>
      <c r="X147" s="111"/>
      <c r="Z147" s="111" t="s">
        <v>542</v>
      </c>
      <c r="AA147" s="111" t="s">
        <v>547</v>
      </c>
    </row>
    <row r="148" spans="23:27" ht="15" customHeight="1">
      <c r="W148" s="111"/>
      <c r="X148" s="111"/>
      <c r="Z148" s="111" t="s">
        <v>542</v>
      </c>
      <c r="AA148" s="111" t="s">
        <v>548</v>
      </c>
    </row>
    <row r="149" spans="23:27" ht="15" customHeight="1">
      <c r="W149" s="111"/>
      <c r="X149" s="111"/>
      <c r="Z149" s="111" t="s">
        <v>529</v>
      </c>
      <c r="AA149" s="111" t="s">
        <v>530</v>
      </c>
    </row>
    <row r="150" spans="23:27" ht="15" customHeight="1">
      <c r="W150" s="111"/>
      <c r="X150" s="111"/>
      <c r="Z150" s="111" t="s">
        <v>529</v>
      </c>
      <c r="AA150" s="111" t="s">
        <v>531</v>
      </c>
    </row>
    <row r="151" spans="23:27" ht="15" customHeight="1">
      <c r="W151" s="111"/>
      <c r="X151" s="111"/>
      <c r="Z151" s="111" t="s">
        <v>639</v>
      </c>
      <c r="AA151" s="111" t="s">
        <v>640</v>
      </c>
    </row>
    <row r="152" spans="23:27" ht="15" customHeight="1">
      <c r="W152" s="111"/>
      <c r="X152" s="111"/>
      <c r="Z152" s="111" t="s">
        <v>639</v>
      </c>
      <c r="AA152" s="111" t="s">
        <v>641</v>
      </c>
    </row>
    <row r="153" spans="23:27" ht="15" customHeight="1">
      <c r="W153" s="111"/>
      <c r="X153" s="111"/>
      <c r="Z153" s="111" t="s">
        <v>639</v>
      </c>
      <c r="AA153" s="111" t="s">
        <v>642</v>
      </c>
    </row>
    <row r="154" spans="23:27" ht="15" customHeight="1">
      <c r="W154" s="111"/>
      <c r="X154" s="111"/>
      <c r="Z154" s="111" t="s">
        <v>639</v>
      </c>
      <c r="AA154" s="111" t="s">
        <v>643</v>
      </c>
    </row>
    <row r="155" spans="23:27" ht="15" customHeight="1">
      <c r="W155" s="111"/>
      <c r="X155" s="111"/>
      <c r="Z155" s="111" t="s">
        <v>639</v>
      </c>
      <c r="AA155" s="111" t="s">
        <v>644</v>
      </c>
    </row>
    <row r="156" spans="23:27" ht="15" customHeight="1">
      <c r="W156" s="111"/>
      <c r="X156" s="111"/>
      <c r="Z156" s="111" t="s">
        <v>639</v>
      </c>
      <c r="AA156" s="111" t="s">
        <v>645</v>
      </c>
    </row>
    <row r="157" spans="23:27" ht="15" customHeight="1">
      <c r="W157" s="111"/>
      <c r="X157" s="111"/>
      <c r="Z157" s="111" t="s">
        <v>646</v>
      </c>
      <c r="AA157" s="111" t="s">
        <v>647</v>
      </c>
    </row>
    <row r="158" spans="23:27" ht="15" customHeight="1">
      <c r="W158" s="111"/>
      <c r="X158" s="111"/>
      <c r="Z158" s="111" t="s">
        <v>345</v>
      </c>
      <c r="AA158" s="111" t="s">
        <v>393</v>
      </c>
    </row>
    <row r="159" spans="23:27" ht="15" customHeight="1">
      <c r="W159" s="111"/>
      <c r="X159" s="111"/>
      <c r="Z159" s="111" t="s">
        <v>345</v>
      </c>
      <c r="AA159" s="111" t="s">
        <v>346</v>
      </c>
    </row>
    <row r="160" spans="23:27" ht="15" customHeight="1">
      <c r="W160" s="111"/>
      <c r="X160" s="111"/>
      <c r="Z160" s="111" t="s">
        <v>429</v>
      </c>
      <c r="AA160" s="111" t="s">
        <v>430</v>
      </c>
    </row>
    <row r="161" spans="23:27" ht="15" customHeight="1">
      <c r="W161" s="111"/>
      <c r="X161" s="111"/>
      <c r="Z161" s="111" t="s">
        <v>431</v>
      </c>
      <c r="AA161" s="111" t="s">
        <v>432</v>
      </c>
    </row>
    <row r="162" spans="23:27" ht="15" customHeight="1">
      <c r="W162" s="111"/>
      <c r="X162" s="111"/>
      <c r="Z162" s="111" t="s">
        <v>660</v>
      </c>
      <c r="AA162" s="111" t="s">
        <v>661</v>
      </c>
    </row>
    <row r="163" spans="23:27" ht="15" customHeight="1">
      <c r="W163" s="111"/>
      <c r="X163" s="111"/>
      <c r="Z163" s="111" t="s">
        <v>662</v>
      </c>
      <c r="AA163" s="111" t="s">
        <v>663</v>
      </c>
    </row>
    <row r="164" spans="23:27" ht="15" customHeight="1">
      <c r="W164" s="111"/>
      <c r="X164" s="111"/>
      <c r="Z164" s="111" t="s">
        <v>556</v>
      </c>
      <c r="AA164" s="111" t="s">
        <v>557</v>
      </c>
    </row>
    <row r="165" spans="23:27" ht="15" customHeight="1">
      <c r="W165" s="111"/>
      <c r="X165" s="111"/>
      <c r="Z165" s="111" t="s">
        <v>532</v>
      </c>
      <c r="AA165" s="111" t="s">
        <v>533</v>
      </c>
    </row>
    <row r="166" spans="23:27" ht="15" customHeight="1">
      <c r="W166" s="111"/>
      <c r="X166" s="111"/>
      <c r="Z166" s="111" t="s">
        <v>532</v>
      </c>
      <c r="AA166" s="111" t="s">
        <v>534</v>
      </c>
    </row>
    <row r="167" spans="23:27" ht="15" customHeight="1">
      <c r="W167" s="111"/>
      <c r="X167" s="111"/>
      <c r="Z167" s="111" t="s">
        <v>532</v>
      </c>
      <c r="AA167" s="111" t="s">
        <v>535</v>
      </c>
    </row>
    <row r="168" spans="23:27" ht="15" customHeight="1">
      <c r="W168" s="111"/>
      <c r="X168" s="111"/>
      <c r="Z168" s="111" t="s">
        <v>532</v>
      </c>
      <c r="AA168" s="111" t="s">
        <v>536</v>
      </c>
    </row>
    <row r="169" spans="23:27" ht="15" customHeight="1">
      <c r="W169" s="111"/>
      <c r="X169" s="111"/>
      <c r="Z169" s="111" t="s">
        <v>532</v>
      </c>
      <c r="AA169" s="111" t="s">
        <v>537</v>
      </c>
    </row>
    <row r="170" spans="23:27" ht="15" customHeight="1">
      <c r="W170" s="111"/>
      <c r="X170" s="111"/>
      <c r="Z170" s="111" t="s">
        <v>532</v>
      </c>
      <c r="AA170" s="111" t="s">
        <v>538</v>
      </c>
    </row>
    <row r="171" spans="23:27" ht="15" customHeight="1">
      <c r="W171" s="111"/>
      <c r="X171" s="111"/>
      <c r="Z171" s="111" t="s">
        <v>532</v>
      </c>
      <c r="AA171" s="111" t="s">
        <v>539</v>
      </c>
    </row>
    <row r="172" spans="23:27" ht="15" customHeight="1">
      <c r="W172" s="111"/>
      <c r="X172" s="111"/>
      <c r="Z172" s="111" t="s">
        <v>532</v>
      </c>
      <c r="AA172" s="111" t="s">
        <v>540</v>
      </c>
    </row>
    <row r="173" spans="23:27" ht="15" customHeight="1">
      <c r="W173" s="111"/>
      <c r="X173" s="111"/>
      <c r="Z173" s="111" t="s">
        <v>452</v>
      </c>
      <c r="AA173" s="111" t="s">
        <v>696</v>
      </c>
    </row>
    <row r="174" spans="23:27" ht="15" customHeight="1">
      <c r="W174" s="111"/>
      <c r="X174" s="111"/>
      <c r="Z174" s="111" t="s">
        <v>397</v>
      </c>
      <c r="AA174" s="111" t="s">
        <v>398</v>
      </c>
    </row>
    <row r="175" spans="23:27" ht="15" customHeight="1">
      <c r="W175" s="111"/>
      <c r="X175" s="111"/>
      <c r="Z175" s="111" t="s">
        <v>483</v>
      </c>
      <c r="AA175" s="111" t="s">
        <v>484</v>
      </c>
    </row>
    <row r="176" spans="23:27" ht="15" customHeight="1">
      <c r="W176" s="111"/>
      <c r="X176" s="111"/>
      <c r="Z176" s="111" t="s">
        <v>483</v>
      </c>
      <c r="AA176" s="111" t="s">
        <v>485</v>
      </c>
    </row>
    <row r="177" spans="23:27" ht="15" customHeight="1">
      <c r="W177" s="111"/>
      <c r="X177" s="111"/>
      <c r="Z177" s="111" t="s">
        <v>483</v>
      </c>
      <c r="AA177" s="111" t="s">
        <v>486</v>
      </c>
    </row>
    <row r="178" spans="23:27" ht="15" customHeight="1">
      <c r="W178" s="111"/>
      <c r="X178" s="111"/>
      <c r="Z178" s="111" t="s">
        <v>483</v>
      </c>
      <c r="AA178" s="111" t="s">
        <v>487</v>
      </c>
    </row>
    <row r="179" spans="23:27" ht="15" customHeight="1">
      <c r="W179" s="111"/>
      <c r="X179" s="111"/>
      <c r="Z179" s="111" t="s">
        <v>483</v>
      </c>
      <c r="AA179" s="111" t="s">
        <v>488</v>
      </c>
    </row>
    <row r="180" spans="23:27" ht="15" customHeight="1">
      <c r="W180" s="111"/>
      <c r="X180" s="111"/>
      <c r="Z180" s="111" t="s">
        <v>385</v>
      </c>
      <c r="AA180" s="111" t="s">
        <v>386</v>
      </c>
    </row>
    <row r="181" spans="23:27" ht="15" customHeight="1">
      <c r="W181" s="111"/>
      <c r="X181" s="111"/>
      <c r="Z181" s="111" t="s">
        <v>385</v>
      </c>
      <c r="AA181" s="111" t="s">
        <v>325</v>
      </c>
    </row>
    <row r="182" spans="23:27" ht="15" customHeight="1">
      <c r="W182" s="111"/>
      <c r="X182" s="111"/>
      <c r="Z182" s="111" t="s">
        <v>385</v>
      </c>
      <c r="AA182" s="111" t="s">
        <v>387</v>
      </c>
    </row>
    <row r="183" spans="23:27" ht="15" customHeight="1">
      <c r="W183" s="111"/>
      <c r="X183" s="111"/>
      <c r="Z183" s="111" t="s">
        <v>549</v>
      </c>
      <c r="AA183" s="111" t="s">
        <v>550</v>
      </c>
    </row>
    <row r="184" spans="23:27" ht="15" customHeight="1">
      <c r="W184" s="111"/>
      <c r="X184" s="111"/>
      <c r="Z184" s="111" t="s">
        <v>549</v>
      </c>
      <c r="AA184" s="111" t="s">
        <v>551</v>
      </c>
    </row>
    <row r="185" spans="23:27" ht="15" customHeight="1">
      <c r="W185" s="111"/>
      <c r="X185" s="111"/>
      <c r="Z185" s="111" t="s">
        <v>549</v>
      </c>
      <c r="AA185" s="111" t="s">
        <v>552</v>
      </c>
    </row>
    <row r="186" spans="23:27" ht="15" customHeight="1">
      <c r="W186" s="111"/>
      <c r="X186" s="111"/>
      <c r="Z186" s="111" t="s">
        <v>555</v>
      </c>
      <c r="AA186" s="111" t="s">
        <v>693</v>
      </c>
    </row>
    <row r="187" spans="23:27" ht="15" customHeight="1">
      <c r="W187" s="111"/>
      <c r="X187" s="111"/>
      <c r="Z187" s="111" t="s">
        <v>697</v>
      </c>
      <c r="AA187" s="111" t="s">
        <v>698</v>
      </c>
    </row>
    <row r="188" spans="23:27" ht="15" customHeight="1">
      <c r="W188" s="111"/>
      <c r="X188" s="111"/>
      <c r="Z188" s="111" t="s">
        <v>697</v>
      </c>
      <c r="AA188" s="111" t="s">
        <v>699</v>
      </c>
    </row>
    <row r="189" spans="23:27" ht="15" customHeight="1">
      <c r="W189" s="111"/>
      <c r="X189" s="111"/>
      <c r="Z189" s="111" t="s">
        <v>347</v>
      </c>
      <c r="AA189" s="111" t="s">
        <v>394</v>
      </c>
    </row>
    <row r="190" spans="23:27" ht="15" customHeight="1">
      <c r="W190" s="111"/>
      <c r="X190" s="111"/>
      <c r="Z190" s="111" t="s">
        <v>347</v>
      </c>
      <c r="AA190" s="111" t="s">
        <v>395</v>
      </c>
    </row>
    <row r="191" spans="23:27" ht="15" customHeight="1">
      <c r="W191" s="111"/>
      <c r="X191" s="111"/>
      <c r="Z191" s="111" t="s">
        <v>347</v>
      </c>
      <c r="AA191" s="111" t="s">
        <v>348</v>
      </c>
    </row>
    <row r="192" spans="23:27" ht="15" customHeight="1">
      <c r="W192" s="111"/>
      <c r="X192" s="111"/>
      <c r="Z192" s="111" t="s">
        <v>580</v>
      </c>
      <c r="AA192" s="111" t="s">
        <v>581</v>
      </c>
    </row>
    <row r="193" spans="23:27" ht="15" customHeight="1">
      <c r="W193" s="111"/>
      <c r="X193" s="111"/>
      <c r="Z193" s="111" t="s">
        <v>582</v>
      </c>
      <c r="AA193" s="111" t="s">
        <v>583</v>
      </c>
    </row>
    <row r="194" spans="23:27" ht="15" customHeight="1">
      <c r="W194" s="111"/>
      <c r="X194" s="111"/>
      <c r="Z194" s="111" t="s">
        <v>489</v>
      </c>
      <c r="AA194" s="111" t="s">
        <v>490</v>
      </c>
    </row>
    <row r="195" spans="23:27" ht="15" customHeight="1">
      <c r="W195" s="111"/>
      <c r="X195" s="111"/>
      <c r="Z195" s="111" t="s">
        <v>489</v>
      </c>
      <c r="AA195" s="111" t="s">
        <v>491</v>
      </c>
    </row>
    <row r="196" spans="23:27" ht="15" customHeight="1">
      <c r="W196" s="111"/>
      <c r="X196" s="111"/>
      <c r="Z196" s="111" t="s">
        <v>489</v>
      </c>
      <c r="AA196" s="111" t="s">
        <v>492</v>
      </c>
    </row>
    <row r="197" spans="23:27" ht="15" customHeight="1">
      <c r="W197" s="111"/>
      <c r="X197" s="111"/>
      <c r="Z197" s="111" t="s">
        <v>489</v>
      </c>
      <c r="AA197" s="111" t="s">
        <v>493</v>
      </c>
    </row>
    <row r="198" spans="23:27" ht="15" customHeight="1">
      <c r="W198" s="111"/>
      <c r="X198" s="111"/>
      <c r="Z198" s="111" t="s">
        <v>694</v>
      </c>
      <c r="AA198" s="111" t="s">
        <v>695</v>
      </c>
    </row>
    <row r="199" spans="23:27" ht="15" customHeight="1">
      <c r="W199" s="111"/>
      <c r="X199" s="111"/>
      <c r="Z199" s="111" t="s">
        <v>587</v>
      </c>
      <c r="AA199" s="111" t="s">
        <v>588</v>
      </c>
    </row>
    <row r="200" spans="23:27" ht="15" customHeight="1">
      <c r="W200" s="111"/>
      <c r="X200" s="111"/>
      <c r="Z200" s="111" t="s">
        <v>587</v>
      </c>
      <c r="AA200" s="111" t="s">
        <v>589</v>
      </c>
    </row>
    <row r="201" spans="23:27" ht="15" customHeight="1">
      <c r="W201" s="111"/>
      <c r="X201" s="111"/>
      <c r="Z201" s="111" t="s">
        <v>587</v>
      </c>
      <c r="AA201" s="111" t="s">
        <v>590</v>
      </c>
    </row>
    <row r="202" spans="23:27" ht="15" customHeight="1">
      <c r="W202" s="111"/>
      <c r="X202" s="111"/>
      <c r="Z202" s="111" t="s">
        <v>587</v>
      </c>
      <c r="AA202" s="111" t="s">
        <v>591</v>
      </c>
    </row>
    <row r="203" spans="23:27" ht="15" customHeight="1">
      <c r="W203" s="111"/>
      <c r="X203" s="111"/>
      <c r="Z203" s="111" t="s">
        <v>587</v>
      </c>
      <c r="AA203" s="111" t="s">
        <v>592</v>
      </c>
    </row>
    <row r="204" spans="23:27" ht="15" customHeight="1">
      <c r="W204" s="111"/>
      <c r="X204" s="111"/>
      <c r="Z204" s="111" t="s">
        <v>587</v>
      </c>
      <c r="AA204" s="111" t="s">
        <v>593</v>
      </c>
    </row>
    <row r="205" spans="23:27" ht="15" customHeight="1">
      <c r="W205" s="111"/>
      <c r="X205" s="111"/>
      <c r="Z205" s="111" t="s">
        <v>442</v>
      </c>
      <c r="AA205" s="111" t="s">
        <v>443</v>
      </c>
    </row>
    <row r="206" spans="23:27" ht="15" customHeight="1">
      <c r="W206" s="111"/>
      <c r="X206" s="111"/>
      <c r="Z206" s="111" t="s">
        <v>442</v>
      </c>
      <c r="AA206" s="111" t="s">
        <v>444</v>
      </c>
    </row>
    <row r="207" spans="23:27" ht="15" customHeight="1">
      <c r="W207" s="111"/>
      <c r="X207" s="111"/>
      <c r="Z207" s="111" t="s">
        <v>442</v>
      </c>
      <c r="AA207" s="111" t="s">
        <v>445</v>
      </c>
    </row>
    <row r="208" spans="23:27" ht="15" customHeight="1">
      <c r="W208" s="111"/>
      <c r="X208" s="111"/>
      <c r="Z208" s="111" t="s">
        <v>442</v>
      </c>
      <c r="AA208" s="111" t="s">
        <v>446</v>
      </c>
    </row>
    <row r="209" spans="23:27" ht="15" customHeight="1">
      <c r="W209" s="111"/>
      <c r="X209" s="111"/>
      <c r="Z209" s="111" t="s">
        <v>594</v>
      </c>
      <c r="AA209" s="111" t="s">
        <v>595</v>
      </c>
    </row>
    <row r="210" spans="23:27" ht="15" customHeight="1">
      <c r="W210" s="111"/>
      <c r="X210" s="111"/>
      <c r="Z210" s="111" t="s">
        <v>594</v>
      </c>
      <c r="AA210" s="111" t="s">
        <v>596</v>
      </c>
    </row>
    <row r="211" spans="23:27" ht="15" customHeight="1">
      <c r="W211" s="111"/>
      <c r="X211" s="111"/>
      <c r="Z211" s="111" t="s">
        <v>594</v>
      </c>
      <c r="AA211" s="111" t="s">
        <v>688</v>
      </c>
    </row>
    <row r="212" spans="23:27" ht="15" customHeight="1">
      <c r="W212" s="111"/>
      <c r="X212" s="111"/>
      <c r="Z212" s="111" t="s">
        <v>594</v>
      </c>
      <c r="AA212" s="111" t="s">
        <v>597</v>
      </c>
    </row>
    <row r="213" spans="23:27" ht="15" customHeight="1">
      <c r="W213" s="111"/>
      <c r="X213" s="111"/>
      <c r="Z213" s="111" t="s">
        <v>594</v>
      </c>
      <c r="AA213" s="111" t="s">
        <v>598</v>
      </c>
    </row>
    <row r="214" spans="23:27" ht="15" customHeight="1">
      <c r="W214" s="111"/>
      <c r="X214" s="111"/>
      <c r="Z214" s="111" t="s">
        <v>594</v>
      </c>
      <c r="AA214" s="111" t="s">
        <v>599</v>
      </c>
    </row>
    <row r="215" spans="23:27" ht="15" customHeight="1">
      <c r="W215" s="111"/>
      <c r="X215" s="111"/>
      <c r="Z215" s="111" t="s">
        <v>594</v>
      </c>
      <c r="AA215" s="111" t="s">
        <v>600</v>
      </c>
    </row>
    <row r="216" spans="23:27" ht="15" customHeight="1">
      <c r="W216" s="111"/>
      <c r="X216" s="111"/>
      <c r="Z216" s="111" t="s">
        <v>594</v>
      </c>
      <c r="AA216" s="111" t="s">
        <v>601</v>
      </c>
    </row>
    <row r="217" spans="23:27" ht="15" customHeight="1">
      <c r="W217" s="111"/>
      <c r="X217" s="111"/>
      <c r="Z217" s="111" t="s">
        <v>594</v>
      </c>
      <c r="AA217" s="111" t="s">
        <v>602</v>
      </c>
    </row>
    <row r="218" spans="23:27" ht="15" customHeight="1">
      <c r="W218" s="111"/>
      <c r="X218" s="111"/>
      <c r="Z218" s="111" t="s">
        <v>594</v>
      </c>
      <c r="AA218" s="111" t="s">
        <v>603</v>
      </c>
    </row>
    <row r="219" spans="23:27" ht="15" customHeight="1">
      <c r="W219" s="111"/>
      <c r="X219" s="111"/>
      <c r="Z219" s="111" t="s">
        <v>594</v>
      </c>
      <c r="AA219" s="111" t="s">
        <v>604</v>
      </c>
    </row>
    <row r="220" spans="23:27" ht="15" customHeight="1">
      <c r="W220" s="111"/>
      <c r="X220" s="111"/>
      <c r="Z220" s="111" t="s">
        <v>594</v>
      </c>
      <c r="AA220" s="111" t="s">
        <v>605</v>
      </c>
    </row>
    <row r="221" spans="23:27" ht="15" customHeight="1">
      <c r="W221" s="111"/>
      <c r="X221" s="111"/>
      <c r="Z221" s="111" t="s">
        <v>594</v>
      </c>
      <c r="AA221" s="111" t="s">
        <v>606</v>
      </c>
    </row>
    <row r="222" spans="23:27" ht="15" customHeight="1">
      <c r="W222" s="111"/>
      <c r="X222" s="111"/>
      <c r="Z222" s="111" t="s">
        <v>594</v>
      </c>
      <c r="AA222" s="111" t="s">
        <v>607</v>
      </c>
    </row>
    <row r="223" spans="23:27" ht="15" customHeight="1">
      <c r="W223" s="111"/>
      <c r="X223" s="111"/>
      <c r="Z223" s="111" t="s">
        <v>594</v>
      </c>
      <c r="AA223" s="111" t="s">
        <v>689</v>
      </c>
    </row>
    <row r="224" spans="23:27" ht="15" customHeight="1">
      <c r="W224" s="111"/>
      <c r="X224" s="111"/>
      <c r="Z224" s="111" t="s">
        <v>594</v>
      </c>
      <c r="AA224" s="111" t="s">
        <v>608</v>
      </c>
    </row>
    <row r="225" spans="23:27" ht="15" customHeight="1">
      <c r="W225" s="111"/>
      <c r="X225" s="111"/>
      <c r="Z225" s="111" t="s">
        <v>700</v>
      </c>
      <c r="AA225" s="111" t="s">
        <v>701</v>
      </c>
    </row>
    <row r="226" spans="23:27" ht="15" customHeight="1">
      <c r="W226" s="111"/>
      <c r="X226" s="111"/>
      <c r="Z226" s="111" t="s">
        <v>700</v>
      </c>
      <c r="AA226" s="111" t="s">
        <v>702</v>
      </c>
    </row>
    <row r="227" spans="23:27" ht="15" customHeight="1">
      <c r="W227" s="111"/>
      <c r="X227" s="111"/>
      <c r="Z227" s="111" t="s">
        <v>700</v>
      </c>
      <c r="AA227" s="111" t="s">
        <v>703</v>
      </c>
    </row>
    <row r="228" spans="23:27" ht="15" customHeight="1">
      <c r="W228" s="111"/>
      <c r="X228" s="111"/>
      <c r="Z228" s="111" t="s">
        <v>617</v>
      </c>
      <c r="AA228" s="111" t="s">
        <v>618</v>
      </c>
    </row>
    <row r="229" spans="23:27" ht="15" customHeight="1">
      <c r="W229" s="111"/>
      <c r="X229" s="111"/>
      <c r="Z229" s="111" t="s">
        <v>619</v>
      </c>
      <c r="AA229" s="111" t="s">
        <v>620</v>
      </c>
    </row>
    <row r="230" spans="23:27" ht="15" customHeight="1">
      <c r="W230" s="111"/>
      <c r="X230" s="111"/>
      <c r="Z230" s="111" t="s">
        <v>619</v>
      </c>
      <c r="AA230" s="111" t="s">
        <v>621</v>
      </c>
    </row>
    <row r="231" spans="23:27" ht="15" customHeight="1">
      <c r="W231" s="111"/>
      <c r="X231" s="111"/>
      <c r="Z231" s="111" t="s">
        <v>619</v>
      </c>
      <c r="AA231" s="111" t="s">
        <v>622</v>
      </c>
    </row>
    <row r="232" spans="23:27" ht="15" customHeight="1">
      <c r="W232" s="111"/>
      <c r="X232" s="111"/>
      <c r="Z232" s="111" t="s">
        <v>619</v>
      </c>
      <c r="AA232" s="111" t="s">
        <v>623</v>
      </c>
    </row>
    <row r="233" spans="23:27" ht="15" customHeight="1">
      <c r="W233" s="111"/>
      <c r="X233" s="111"/>
      <c r="Z233" s="111" t="s">
        <v>619</v>
      </c>
      <c r="AA233" s="111" t="s">
        <v>624</v>
      </c>
    </row>
    <row r="234" spans="23:27" ht="15" customHeight="1">
      <c r="W234" s="111"/>
      <c r="X234" s="111"/>
      <c r="Z234" s="111" t="s">
        <v>704</v>
      </c>
      <c r="AA234" s="111" t="s">
        <v>705</v>
      </c>
    </row>
    <row r="235" spans="23:27" ht="15" customHeight="1">
      <c r="W235" s="111"/>
      <c r="X235" s="111"/>
      <c r="Z235" s="111" t="s">
        <v>626</v>
      </c>
      <c r="AA235" s="111" t="s">
        <v>627</v>
      </c>
    </row>
    <row r="236" spans="23:27" ht="15" customHeight="1">
      <c r="W236" s="111"/>
      <c r="X236" s="111"/>
      <c r="Z236" s="111" t="s">
        <v>609</v>
      </c>
      <c r="AA236" s="111" t="s">
        <v>610</v>
      </c>
    </row>
    <row r="237" spans="23:27" ht="15" customHeight="1">
      <c r="W237" s="111"/>
      <c r="X237" s="111"/>
      <c r="Z237" s="111" t="s">
        <v>609</v>
      </c>
      <c r="AA237" s="111" t="s">
        <v>611</v>
      </c>
    </row>
    <row r="238" spans="23:27" ht="15" customHeight="1">
      <c r="W238" s="111"/>
      <c r="X238" s="111"/>
      <c r="Z238" s="111" t="s">
        <v>664</v>
      </c>
      <c r="AA238" s="111" t="s">
        <v>665</v>
      </c>
    </row>
    <row r="239" spans="23:27" ht="15" customHeight="1">
      <c r="W239" s="111"/>
      <c r="X239" s="111"/>
      <c r="Z239" s="111" t="s">
        <v>666</v>
      </c>
      <c r="AA239" s="111" t="s">
        <v>667</v>
      </c>
    </row>
    <row r="240" spans="23:27" ht="15" customHeight="1">
      <c r="W240" s="111"/>
      <c r="X240" s="111"/>
      <c r="Z240" s="111" t="s">
        <v>666</v>
      </c>
      <c r="AA240" s="111" t="s">
        <v>668</v>
      </c>
    </row>
    <row r="241" spans="23:27" ht="15" customHeight="1">
      <c r="W241" s="111"/>
      <c r="X241" s="111"/>
      <c r="Z241" s="111" t="s">
        <v>666</v>
      </c>
      <c r="AA241" s="111" t="s">
        <v>669</v>
      </c>
    </row>
    <row r="242" spans="23:27" ht="15" customHeight="1">
      <c r="W242" s="111"/>
      <c r="X242" s="111"/>
      <c r="Z242" s="111" t="s">
        <v>666</v>
      </c>
      <c r="AA242" s="111" t="s">
        <v>670</v>
      </c>
    </row>
    <row r="243" spans="23:27" ht="15" customHeight="1">
      <c r="W243" s="111"/>
      <c r="X243" s="111"/>
      <c r="Z243" s="111" t="s">
        <v>666</v>
      </c>
      <c r="AA243" s="111" t="s">
        <v>671</v>
      </c>
    </row>
    <row r="244" spans="23:27" ht="15" customHeight="1">
      <c r="W244" s="111"/>
      <c r="X244" s="111"/>
      <c r="Z244" s="111" t="s">
        <v>666</v>
      </c>
      <c r="AA244" s="111" t="s">
        <v>672</v>
      </c>
    </row>
    <row r="245" spans="23:27" ht="15" customHeight="1">
      <c r="W245" s="111"/>
      <c r="X245" s="111"/>
      <c r="Z245" s="111" t="s">
        <v>666</v>
      </c>
      <c r="AA245" s="111" t="s">
        <v>673</v>
      </c>
    </row>
    <row r="246" spans="23:27" ht="15" customHeight="1">
      <c r="W246" s="111"/>
      <c r="X246" s="111"/>
      <c r="Z246" s="111" t="s">
        <v>666</v>
      </c>
      <c r="AA246" s="111" t="s">
        <v>674</v>
      </c>
    </row>
    <row r="247" spans="23:27" ht="15" customHeight="1">
      <c r="W247" s="111"/>
      <c r="X247" s="111"/>
      <c r="Z247" s="111" t="s">
        <v>666</v>
      </c>
      <c r="AA247" s="111" t="s">
        <v>675</v>
      </c>
    </row>
    <row r="248" spans="23:27" ht="15" customHeight="1">
      <c r="W248" s="111"/>
      <c r="X248" s="111"/>
      <c r="Z248" s="111" t="s">
        <v>666</v>
      </c>
      <c r="AA248" s="111" t="s">
        <v>676</v>
      </c>
    </row>
    <row r="249" spans="23:27" ht="15" customHeight="1">
      <c r="W249" s="111"/>
      <c r="X249" s="111"/>
      <c r="Z249" s="111" t="s">
        <v>677</v>
      </c>
      <c r="AA249" s="111" t="s">
        <v>678</v>
      </c>
    </row>
    <row r="250" spans="23:27" ht="15" customHeight="1">
      <c r="W250" s="111"/>
      <c r="X250" s="111"/>
      <c r="Z250" s="111" t="s">
        <v>553</v>
      </c>
      <c r="AA250" s="111" t="s">
        <v>679</v>
      </c>
    </row>
    <row r="251" spans="23:27" ht="15" customHeight="1">
      <c r="W251" s="111"/>
      <c r="X251" s="111"/>
      <c r="Z251" s="111" t="s">
        <v>553</v>
      </c>
      <c r="AA251" s="111" t="s">
        <v>554</v>
      </c>
    </row>
    <row r="252" spans="23:27" ht="15" customHeight="1">
      <c r="W252" s="111"/>
      <c r="X252" s="111"/>
      <c r="Z252" s="111" t="s">
        <v>412</v>
      </c>
      <c r="AA252" s="111" t="s">
        <v>413</v>
      </c>
    </row>
    <row r="253" spans="23:27" ht="15" customHeight="1">
      <c r="W253" s="111"/>
      <c r="X253" s="111"/>
      <c r="Z253" s="111" t="s">
        <v>412</v>
      </c>
      <c r="AA253" s="111" t="s">
        <v>414</v>
      </c>
    </row>
    <row r="254" spans="23:27" ht="15" customHeight="1">
      <c r="W254" s="111"/>
      <c r="X254" s="111"/>
      <c r="Z254" s="111" t="s">
        <v>412</v>
      </c>
      <c r="AA254" s="111" t="s">
        <v>415</v>
      </c>
    </row>
    <row r="255" spans="23:27" ht="15" customHeight="1">
      <c r="W255" s="111"/>
      <c r="X255" s="111"/>
      <c r="Z255" s="111" t="s">
        <v>412</v>
      </c>
      <c r="AA255" s="111" t="s">
        <v>416</v>
      </c>
    </row>
    <row r="256" spans="23:27" ht="15" customHeight="1">
      <c r="W256" s="111"/>
      <c r="X256" s="111"/>
      <c r="Z256" s="111" t="s">
        <v>417</v>
      </c>
      <c r="AA256" s="111" t="s">
        <v>418</v>
      </c>
    </row>
    <row r="257" spans="23:27" ht="15" customHeight="1">
      <c r="W257" s="111"/>
      <c r="X257" s="111"/>
      <c r="Z257" s="111" t="s">
        <v>417</v>
      </c>
      <c r="AA257" s="111" t="s">
        <v>419</v>
      </c>
    </row>
    <row r="258" spans="23:27" ht="15" customHeight="1">
      <c r="W258" s="111"/>
      <c r="X258" s="111"/>
      <c r="Z258" s="111" t="s">
        <v>447</v>
      </c>
      <c r="AA258" s="111" t="s">
        <v>448</v>
      </c>
    </row>
    <row r="259" spans="23:27" ht="15" customHeight="1">
      <c r="W259" s="111"/>
      <c r="X259" s="111"/>
      <c r="Z259" s="111" t="s">
        <v>361</v>
      </c>
      <c r="AA259" s="111" t="s">
        <v>362</v>
      </c>
    </row>
    <row r="260" spans="23:27" ht="15" customHeight="1">
      <c r="W260" s="111"/>
      <c r="X260" s="111"/>
      <c r="Z260" s="111" t="s">
        <v>680</v>
      </c>
      <c r="AA260" s="111" t="s">
        <v>681</v>
      </c>
    </row>
    <row r="261" spans="23:27" ht="15" customHeight="1">
      <c r="W261" s="111"/>
      <c r="X261" s="111"/>
      <c r="Z261" s="111" t="s">
        <v>680</v>
      </c>
      <c r="AA261" s="111" t="s">
        <v>682</v>
      </c>
    </row>
    <row r="262" spans="23:27" ht="15" customHeight="1">
      <c r="W262" s="111"/>
      <c r="X262" s="111"/>
      <c r="Z262" s="111" t="s">
        <v>680</v>
      </c>
      <c r="AA262" s="111" t="s">
        <v>683</v>
      </c>
    </row>
    <row r="263" spans="23:27" ht="15" customHeight="1">
      <c r="W263" s="111"/>
      <c r="X263" s="111"/>
      <c r="Z263" s="111" t="s">
        <v>449</v>
      </c>
      <c r="AA263" s="111" t="s">
        <v>450</v>
      </c>
    </row>
    <row r="264" spans="23:27" ht="15" customHeight="1">
      <c r="W264" s="111"/>
      <c r="X264" s="111"/>
      <c r="Z264" s="111" t="s">
        <v>449</v>
      </c>
      <c r="AA264" s="111" t="s">
        <v>451</v>
      </c>
    </row>
    <row r="265" spans="23:27" ht="15" customHeight="1">
      <c r="W265" s="111"/>
      <c r="X265" s="111"/>
      <c r="Z265" s="111" t="s">
        <v>684</v>
      </c>
      <c r="AA265" s="111" t="s">
        <v>685</v>
      </c>
    </row>
    <row r="266" spans="23:27" ht="15" customHeight="1">
      <c r="W266" s="111"/>
      <c r="X266" s="111"/>
      <c r="Z266" s="111" t="s">
        <v>684</v>
      </c>
      <c r="AA266" s="111" t="s">
        <v>686</v>
      </c>
    </row>
    <row r="267" spans="23:27" ht="15" customHeight="1">
      <c r="W267" s="111"/>
      <c r="X267" s="111"/>
      <c r="Z267" s="111" t="s">
        <v>706</v>
      </c>
      <c r="AA267" s="111" t="s">
        <v>707</v>
      </c>
    </row>
    <row r="268" spans="23:27" ht="15" customHeight="1">
      <c r="W268" s="111"/>
      <c r="X268" s="111"/>
      <c r="Z268" s="111" t="s">
        <v>706</v>
      </c>
      <c r="AA268" s="111" t="s">
        <v>353</v>
      </c>
    </row>
    <row r="269" spans="23:27" ht="15" customHeight="1">
      <c r="W269" s="111"/>
      <c r="X269" s="111"/>
      <c r="Z269" s="111" t="s">
        <v>576</v>
      </c>
      <c r="AA269" s="111" t="s">
        <v>577</v>
      </c>
    </row>
    <row r="270" spans="23:27" ht="15" customHeight="1">
      <c r="W270" s="111"/>
      <c r="X270" s="111"/>
      <c r="Z270" s="111" t="s">
        <v>576</v>
      </c>
      <c r="AA270" s="111" t="s">
        <v>578</v>
      </c>
    </row>
    <row r="271" spans="23:27" ht="15" customHeight="1">
      <c r="W271" s="111"/>
      <c r="X271" s="111"/>
      <c r="Z271" s="111" t="s">
        <v>690</v>
      </c>
      <c r="AA271" s="111" t="s">
        <v>691</v>
      </c>
    </row>
    <row r="272" spans="23:27" ht="15" customHeight="1">
      <c r="W272" s="111"/>
      <c r="X272" s="111"/>
      <c r="Z272" s="111" t="s">
        <v>363</v>
      </c>
      <c r="AA272" s="111" t="s">
        <v>364</v>
      </c>
    </row>
    <row r="273" spans="23:27" ht="15" customHeight="1">
      <c r="W273" s="111"/>
      <c r="X273" s="111"/>
      <c r="Z273" s="111" t="s">
        <v>613</v>
      </c>
      <c r="AA273" s="111" t="s">
        <v>614</v>
      </c>
    </row>
    <row r="274" spans="23:27" ht="15" customHeight="1">
      <c r="W274" s="111"/>
      <c r="X274" s="111"/>
      <c r="Z274" s="111" t="s">
        <v>613</v>
      </c>
      <c r="AA274" s="111" t="s">
        <v>615</v>
      </c>
    </row>
    <row r="275" spans="23:27" ht="15" customHeight="1">
      <c r="W275" s="111"/>
      <c r="X275" s="111"/>
      <c r="Z275" s="111" t="s">
        <v>629</v>
      </c>
      <c r="AA275" s="111" t="s">
        <v>630</v>
      </c>
    </row>
    <row r="276" spans="23:27" ht="15" customHeight="1">
      <c r="W276" s="111"/>
      <c r="X276" s="111"/>
      <c r="Z276" s="111" t="s">
        <v>629</v>
      </c>
      <c r="AA276" s="111" t="s">
        <v>631</v>
      </c>
    </row>
    <row r="277" spans="23:27" ht="15" customHeight="1">
      <c r="W277" s="111"/>
      <c r="X277" s="111"/>
      <c r="Z277" s="111" t="s">
        <v>629</v>
      </c>
      <c r="AA277" s="111" t="s">
        <v>632</v>
      </c>
    </row>
    <row r="278" spans="23:27" ht="15" customHeight="1">
      <c r="W278" s="111"/>
      <c r="X278" s="111"/>
      <c r="Z278" s="111" t="s">
        <v>629</v>
      </c>
      <c r="AA278" s="111" t="s">
        <v>633</v>
      </c>
    </row>
    <row r="279" spans="23:27" ht="15" customHeight="1">
      <c r="W279" s="111"/>
      <c r="X279" s="111"/>
      <c r="Z279" s="111" t="s">
        <v>629</v>
      </c>
      <c r="AA279" s="111" t="s">
        <v>634</v>
      </c>
    </row>
  </sheetData>
  <sheetProtection formatCells="0" formatColumns="0" formatRows="0"/>
  <conditionalFormatting sqref="F32:F40">
    <cfRule type="cellIs" dxfId="6" priority="5528" operator="equal">
      <formula>$AAX$1</formula>
    </cfRule>
  </conditionalFormatting>
  <conditionalFormatting sqref="B31">
    <cfRule type="cellIs" dxfId="5" priority="5470" operator="equal">
      <formula>$AAX$1</formula>
    </cfRule>
  </conditionalFormatting>
  <conditionalFormatting sqref="B14">
    <cfRule type="duplicateValues" dxfId="4" priority="17"/>
  </conditionalFormatting>
  <dataValidations count="26">
    <dataValidation type="list" allowBlank="1" showInputMessage="1" showErrorMessage="1" sqref="G5" xr:uid="{00000000-0002-0000-0100-000000000000}">
      <formula1>IF(F5="Intermediate",INTER1,IF(F5="Novice",Novice1,""))</formula1>
    </dataValidation>
    <dataValidation type="list" allowBlank="1" showInputMessage="1" showErrorMessage="1" sqref="G6" xr:uid="{00000000-0002-0000-0100-000001000000}">
      <formula1>IF(F6="Fatal",NOVICE2)</formula1>
    </dataValidation>
    <dataValidation type="list" allowBlank="1" showInputMessage="1" showErrorMessage="1" sqref="G8" xr:uid="{00000000-0002-0000-0100-000002000000}">
      <formula1>IF(F8="Novice",NOVICE4,IF(F8="Intermediate",INTER4,""))</formula1>
    </dataValidation>
    <dataValidation type="list" allowBlank="1" showInputMessage="1" showErrorMessage="1" sqref="G9" xr:uid="{00000000-0002-0000-0100-000003000000}">
      <formula1>IF(F9="Novice",NOVICE5,IF(F9="Intermediate",INTER5,""))</formula1>
    </dataValidation>
    <dataValidation type="list" allowBlank="1" showInputMessage="1" showErrorMessage="1" sqref="G10" xr:uid="{00000000-0002-0000-0100-000004000000}">
      <formula1>IF(F10="Novice",Novice6,IF(F10="Intermediate",INTER6,""))</formula1>
    </dataValidation>
    <dataValidation type="list" allowBlank="1" showInputMessage="1" showErrorMessage="1" sqref="G11" xr:uid="{00000000-0002-0000-0100-000005000000}">
      <formula1>IF(F11="Intermediate",INTER7,IF(F11="Novice",NOVICE7,""))</formula1>
    </dataValidation>
    <dataValidation type="list" allowBlank="1" showInputMessage="1" showErrorMessage="1" sqref="G12" xr:uid="{00000000-0002-0000-0100-000006000000}">
      <formula1>IF(F12="Novice",NOVICE8,IF(F12="Intermediate",INTER8,""))</formula1>
    </dataValidation>
    <dataValidation type="list" allowBlank="1" showInputMessage="1" showErrorMessage="1" sqref="G13" xr:uid="{00000000-0002-0000-0100-000007000000}">
      <formula1>IF(F13="Novice",NOVICE9,"")</formula1>
    </dataValidation>
    <dataValidation type="list" allowBlank="1" showInputMessage="1" showErrorMessage="1" sqref="G7" xr:uid="{00000000-0002-0000-0100-000008000000}">
      <formula1>IF(F7="Novice",NOVICE3,IF(F7="Intermediate",INTER3,""))</formula1>
    </dataValidation>
    <dataValidation type="list" allowBlank="1" showInputMessage="1" showErrorMessage="1" sqref="G14" xr:uid="{00000000-0002-0000-0100-000009000000}">
      <formula1>IF(F14="Novice",NOVICE10,IF(F14="Intermediate",INTER10,""))</formula1>
    </dataValidation>
    <dataValidation type="list" allowBlank="1" showInputMessage="1" showErrorMessage="1" sqref="G15" xr:uid="{00000000-0002-0000-0100-00000A000000}">
      <formula1>IF(F15="NOVICE",NOVICE11,"")</formula1>
    </dataValidation>
    <dataValidation type="list" allowBlank="1" showInputMessage="1" showErrorMessage="1" sqref="G16" xr:uid="{00000000-0002-0000-0100-00000B000000}">
      <formula1>IF(F16="Fatal",NOVICE12,"")</formula1>
    </dataValidation>
    <dataValidation type="list" allowBlank="1" showInputMessage="1" showErrorMessage="1" sqref="G17" xr:uid="{00000000-0002-0000-0100-00000C000000}">
      <formula1>IF(F17="Novice",NOVICE13,"")</formula1>
    </dataValidation>
    <dataValidation type="list" allowBlank="1" showInputMessage="1" showErrorMessage="1" sqref="G19" xr:uid="{00000000-0002-0000-0100-00000D000000}">
      <formula1>IF(F19="No",INTER15,IF(F19="Fatal",NOVICE15,""))</formula1>
    </dataValidation>
    <dataValidation type="list" allowBlank="1" showInputMessage="1" showErrorMessage="1" sqref="G21" xr:uid="{00000000-0002-0000-0100-00000E000000}">
      <formula1>IF(F21="Fatal",NOVICE17,"")</formula1>
    </dataValidation>
    <dataValidation type="list" allowBlank="1" showInputMessage="1" showErrorMessage="1" sqref="G18" xr:uid="{00000000-0002-0000-0100-00000F000000}">
      <formula1>IF(F18="Intermediate",INTER14,IF(F18="Novice",NOVICE14,""))</formula1>
    </dataValidation>
    <dataValidation type="list" allowBlank="1" showInputMessage="1" showErrorMessage="1" sqref="F37:F38 F32:F35" xr:uid="{00000000-0002-0000-0100-000010000000}">
      <formula1>"Yes, No"</formula1>
    </dataValidation>
    <dataValidation type="list" allowBlank="1" showInputMessage="1" showErrorMessage="1" sqref="J19 F19" xr:uid="{00000000-0002-0000-0100-000011000000}">
      <formula1>"Yes, No, Fatal"</formula1>
    </dataValidation>
    <dataValidation type="list" allowBlank="1" showInputMessage="1" showErrorMessage="1" sqref="J16 J21 F16 F21" xr:uid="{00000000-0002-0000-0100-000012000000}">
      <formula1>"Yes, Fatal"</formula1>
    </dataValidation>
    <dataValidation type="list" allowBlank="1" showInputMessage="1" showErrorMessage="1" sqref="J6 F6" xr:uid="{00000000-0002-0000-0100-000013000000}">
      <formula1>"Yes, Fatal, NA"</formula1>
    </dataValidation>
    <dataValidation type="list" allowBlank="1" showInputMessage="1" showErrorMessage="1" sqref="G22" xr:uid="{00000000-0002-0000-0100-000014000000}">
      <formula1>IF(F22&lt;&gt;"No",ZTNO1,"")</formula1>
    </dataValidation>
    <dataValidation type="list" allowBlank="1" showInputMessage="1" showErrorMessage="1" sqref="F39:F40" xr:uid="{00000000-0002-0000-0100-000015000000}">
      <formula1>"Yes,No,NA"</formula1>
    </dataValidation>
    <dataValidation type="list" allowBlank="1" showInputMessage="1" showErrorMessage="1" sqref="F36" xr:uid="{00000000-0002-0000-0100-000016000000}">
      <formula1>"Yes, No, NA"</formula1>
    </dataValidation>
    <dataValidation type="list" allowBlank="1" showInputMessage="1" showErrorMessage="1" sqref="J17 J13 J15 F17 F13 F15" xr:uid="{00000000-0002-0000-0100-000017000000}">
      <formula1>"Expert, Novice"</formula1>
    </dataValidation>
    <dataValidation type="list" allowBlank="1" showInputMessage="1" showErrorMessage="1" sqref="J18 J8:J9 F18 F8:F9" xr:uid="{00000000-0002-0000-0100-000018000000}">
      <formula1>"Expert, Intermediate, Novice, NA"</formula1>
    </dataValidation>
    <dataValidation type="list" allowBlank="1" showInputMessage="1" showErrorMessage="1" sqref="J5 J7 J10:J12 J20 J14 F5 F7 F10:F12 F20 F14" xr:uid="{00000000-0002-0000-0100-000019000000}">
      <formula1>"Expert, Intermediate, Novice"</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495"/>
  <sheetViews>
    <sheetView showGridLines="0" zoomScaleNormal="100" workbookViewId="0"/>
  </sheetViews>
  <sheetFormatPr defaultRowHeight="15"/>
  <cols>
    <col min="1" max="1" width="16" style="89" customWidth="1"/>
    <col min="2" max="2" width="23.140625" style="89" customWidth="1"/>
    <col min="3" max="3" width="17" style="89" bestFit="1" customWidth="1"/>
    <col min="4" max="4" width="19.28515625" style="89" bestFit="1" customWidth="1"/>
    <col min="5" max="5" width="19" style="89" customWidth="1"/>
    <col min="6" max="6" width="16.7109375" style="89" bestFit="1" customWidth="1"/>
    <col min="7" max="7" width="35.7109375" style="89" bestFit="1" customWidth="1"/>
    <col min="8" max="8" width="16.140625" style="89" bestFit="1" customWidth="1"/>
    <col min="9" max="9" width="16" style="89" bestFit="1" customWidth="1"/>
    <col min="10" max="10" width="8.7109375" style="89" bestFit="1" customWidth="1"/>
    <col min="11" max="11" width="16.7109375" style="89" bestFit="1" customWidth="1"/>
    <col min="12" max="12" width="35.28515625" style="89" bestFit="1" customWidth="1"/>
    <col min="13" max="13" width="13.42578125" style="89" bestFit="1" customWidth="1"/>
    <col min="14" max="14" width="14.28515625" style="89" bestFit="1" customWidth="1"/>
    <col min="15" max="15" width="17.7109375" style="89" bestFit="1" customWidth="1"/>
    <col min="16" max="16" width="20.85546875" style="89" bestFit="1" customWidth="1"/>
    <col min="17" max="17" width="16.140625" style="89" bestFit="1" customWidth="1"/>
    <col min="18" max="18" width="19.5703125" style="89" bestFit="1" customWidth="1"/>
    <col min="19" max="19" width="22.85546875" style="89" bestFit="1" customWidth="1"/>
    <col min="20" max="20" width="14.7109375" style="89" bestFit="1" customWidth="1"/>
    <col min="21" max="21" width="8.28515625" style="89" bestFit="1" customWidth="1"/>
    <col min="22" max="22" width="15.42578125" style="89" bestFit="1" customWidth="1"/>
    <col min="23" max="23" width="44.140625" style="89" bestFit="1" customWidth="1"/>
    <col min="24" max="24" width="7.28515625" style="89" bestFit="1" customWidth="1"/>
    <col min="25" max="25" width="9.5703125" style="89" bestFit="1" customWidth="1"/>
    <col min="26" max="26" width="43.85546875" style="89" bestFit="1" customWidth="1"/>
    <col min="27" max="27" width="7.28515625" style="89" bestFit="1" customWidth="1"/>
    <col min="28" max="28" width="9.5703125" style="89" bestFit="1" customWidth="1"/>
    <col min="29" max="29" width="16.42578125" style="89" bestFit="1" customWidth="1"/>
    <col min="30" max="30" width="7.28515625" style="89" bestFit="1" customWidth="1"/>
    <col min="31" max="31" width="9.5703125" style="89" bestFit="1" customWidth="1"/>
    <col min="32" max="32" width="55.42578125" style="89" bestFit="1" customWidth="1"/>
    <col min="33" max="33" width="7.28515625" style="89" bestFit="1" customWidth="1"/>
    <col min="34" max="34" width="9.5703125" style="89" bestFit="1" customWidth="1"/>
    <col min="35" max="35" width="69.28515625" style="89" bestFit="1" customWidth="1"/>
    <col min="36" max="36" width="7.28515625" style="89" bestFit="1" customWidth="1"/>
    <col min="37" max="37" width="9.5703125" style="89" bestFit="1" customWidth="1"/>
    <col min="38" max="38" width="56.85546875" style="89" bestFit="1" customWidth="1"/>
    <col min="39" max="39" width="7.28515625" style="89" bestFit="1" customWidth="1"/>
    <col min="40" max="40" width="9.5703125" style="89" bestFit="1" customWidth="1"/>
    <col min="41" max="41" width="42.28515625" style="89" bestFit="1" customWidth="1"/>
    <col min="42" max="42" width="7.28515625" style="89" bestFit="1" customWidth="1"/>
    <col min="43" max="43" width="9.5703125" style="89" bestFit="1" customWidth="1"/>
    <col min="44" max="44" width="55.140625" style="89" bestFit="1" customWidth="1"/>
    <col min="45" max="45" width="7.28515625" style="89" bestFit="1" customWidth="1"/>
    <col min="46" max="46" width="9.5703125" style="89" bestFit="1" customWidth="1"/>
    <col min="47" max="47" width="59.5703125" style="89" bestFit="1" customWidth="1"/>
    <col min="48" max="48" width="7.28515625" style="89" bestFit="1" customWidth="1"/>
    <col min="49" max="49" width="9.5703125" style="89" bestFit="1" customWidth="1"/>
    <col min="50" max="50" width="18.85546875" style="89" bestFit="1" customWidth="1"/>
    <col min="51" max="51" width="7.28515625" style="89" bestFit="1" customWidth="1"/>
    <col min="52" max="52" width="9.5703125" style="89" bestFit="1" customWidth="1"/>
    <col min="53" max="53" width="43.140625" style="89" bestFit="1" customWidth="1"/>
    <col min="54" max="54" width="7.28515625" style="89" bestFit="1" customWidth="1"/>
    <col min="55" max="55" width="9.5703125" style="89" bestFit="1" customWidth="1"/>
    <col min="56" max="56" width="57.5703125" style="89" bestFit="1" customWidth="1"/>
    <col min="57" max="57" width="7.28515625" style="89" bestFit="1" customWidth="1"/>
    <col min="58" max="58" width="9.5703125" style="89" bestFit="1" customWidth="1"/>
    <col min="59" max="59" width="7.140625" style="89" bestFit="1" customWidth="1"/>
    <col min="60" max="60" width="7.28515625" style="89" bestFit="1" customWidth="1"/>
    <col min="61" max="61" width="9.5703125" style="89" bestFit="1" customWidth="1"/>
    <col min="62" max="62" width="34" style="89" bestFit="1" customWidth="1"/>
    <col min="63" max="63" width="7.28515625" style="89" bestFit="1" customWidth="1"/>
    <col min="64" max="64" width="9.5703125" style="89" bestFit="1" customWidth="1"/>
    <col min="65" max="65" width="45.5703125" style="89" bestFit="1" customWidth="1"/>
    <col min="66" max="66" width="7.28515625" style="89" bestFit="1" customWidth="1"/>
    <col min="67" max="67" width="9.5703125" style="89" bestFit="1" customWidth="1"/>
    <col min="68" max="68" width="21.140625" style="89" bestFit="1" customWidth="1"/>
    <col min="69" max="69" width="7.28515625" style="89" bestFit="1" customWidth="1"/>
    <col min="70" max="70" width="9.5703125" style="89" bestFit="1" customWidth="1"/>
    <col min="71" max="71" width="16.5703125" style="89" bestFit="1" customWidth="1"/>
    <col min="72" max="72" width="7.28515625" style="89" bestFit="1" customWidth="1"/>
    <col min="73" max="73" width="9.5703125" style="89" bestFit="1" customWidth="1"/>
    <col min="74" max="74" width="2.7109375" style="89" bestFit="1" customWidth="1"/>
    <col min="75" max="75" width="7.28515625" style="89" bestFit="1" customWidth="1"/>
    <col min="76" max="76" width="9.5703125" style="89" bestFit="1" customWidth="1"/>
    <col min="77" max="77" width="12.42578125" style="89" bestFit="1" customWidth="1"/>
    <col min="78" max="78" width="14.140625" style="89" bestFit="1" customWidth="1"/>
    <col min="79" max="79" width="11.28515625" style="89" bestFit="1" customWidth="1"/>
    <col min="80" max="80" width="22.5703125" style="89" bestFit="1" customWidth="1"/>
    <col min="81" max="81" width="10.28515625" style="89" bestFit="1" customWidth="1"/>
    <col min="82" max="82" width="10" style="89" bestFit="1" customWidth="1"/>
    <col min="83" max="83" width="16.85546875" style="89" bestFit="1" customWidth="1"/>
    <col min="84" max="84" width="44.42578125" style="89" bestFit="1" customWidth="1"/>
    <col min="85" max="85" width="87.85546875" style="89" bestFit="1" customWidth="1"/>
    <col min="86" max="86" width="4.28515625" style="89" bestFit="1" customWidth="1"/>
    <col min="87" max="87" width="35.28515625" style="89" bestFit="1" customWidth="1"/>
    <col min="88" max="88" width="28.5703125" style="89" bestFit="1" customWidth="1"/>
    <col min="89" max="89" width="16.28515625" style="89" bestFit="1" customWidth="1"/>
    <col min="90" max="90" width="13.85546875" style="89" bestFit="1" customWidth="1"/>
    <col min="91" max="91" width="25.28515625" style="89" bestFit="1" customWidth="1"/>
    <col min="92" max="92" width="29" style="89" bestFit="1" customWidth="1"/>
    <col min="93" max="93" width="4.140625" style="89" bestFit="1" customWidth="1"/>
    <col min="94" max="94" width="17.28515625" style="89" bestFit="1" customWidth="1"/>
    <col min="95" max="95" width="21.42578125" style="89" bestFit="1" customWidth="1"/>
    <col min="96" max="96" width="17.85546875" style="89" bestFit="1" customWidth="1"/>
    <col min="97" max="97" width="6.85546875" style="89" bestFit="1" customWidth="1"/>
    <col min="98" max="98" width="8.85546875" style="89" bestFit="1" customWidth="1"/>
    <col min="99" max="99" width="4.5703125" style="89" bestFit="1" customWidth="1"/>
    <col min="100" max="16384" width="9.140625" style="89"/>
  </cols>
  <sheetData>
    <row r="1" spans="1:99" s="87" customFormat="1" ht="12.75">
      <c r="A1" s="74" t="s">
        <v>101</v>
      </c>
      <c r="B1" s="74" t="s">
        <v>102</v>
      </c>
      <c r="C1" s="74" t="s">
        <v>103</v>
      </c>
      <c r="D1" s="74" t="s">
        <v>104</v>
      </c>
      <c r="E1" s="74" t="s">
        <v>105</v>
      </c>
      <c r="F1" s="74" t="s">
        <v>106</v>
      </c>
      <c r="G1" s="74" t="s">
        <v>107</v>
      </c>
      <c r="H1" s="74" t="s">
        <v>108</v>
      </c>
      <c r="I1" s="74" t="s">
        <v>109</v>
      </c>
      <c r="J1" s="74" t="s">
        <v>110</v>
      </c>
      <c r="K1" s="74" t="s">
        <v>111</v>
      </c>
      <c r="L1" s="74" t="s">
        <v>112</v>
      </c>
      <c r="M1" s="74" t="s">
        <v>113</v>
      </c>
      <c r="N1" s="74" t="s">
        <v>114</v>
      </c>
      <c r="O1" s="74" t="s">
        <v>115</v>
      </c>
      <c r="P1" s="74" t="s">
        <v>116</v>
      </c>
      <c r="Q1" s="74" t="s">
        <v>117</v>
      </c>
      <c r="R1" s="74" t="s">
        <v>118</v>
      </c>
      <c r="S1" s="74" t="s">
        <v>119</v>
      </c>
      <c r="T1" s="74" t="s">
        <v>120</v>
      </c>
      <c r="U1" s="74" t="s">
        <v>121</v>
      </c>
      <c r="V1" s="74" t="s">
        <v>146</v>
      </c>
      <c r="W1" s="74" t="s">
        <v>0</v>
      </c>
      <c r="X1" s="74" t="s">
        <v>142</v>
      </c>
      <c r="Y1" s="74" t="s">
        <v>144</v>
      </c>
      <c r="Z1" s="74" t="s">
        <v>1</v>
      </c>
      <c r="AA1" s="74" t="s">
        <v>142</v>
      </c>
      <c r="AB1" s="74" t="s">
        <v>144</v>
      </c>
      <c r="AC1" s="74" t="s">
        <v>18</v>
      </c>
      <c r="AD1" s="74" t="s">
        <v>142</v>
      </c>
      <c r="AE1" s="74" t="s">
        <v>144</v>
      </c>
      <c r="AF1" s="74" t="s">
        <v>2</v>
      </c>
      <c r="AG1" s="74" t="s">
        <v>142</v>
      </c>
      <c r="AH1" s="74" t="s">
        <v>144</v>
      </c>
      <c r="AI1" s="74" t="s">
        <v>3</v>
      </c>
      <c r="AJ1" s="74" t="s">
        <v>142</v>
      </c>
      <c r="AK1" s="74" t="s">
        <v>144</v>
      </c>
      <c r="AL1" s="74" t="s">
        <v>48</v>
      </c>
      <c r="AM1" s="74" t="s">
        <v>142</v>
      </c>
      <c r="AN1" s="74" t="s">
        <v>144</v>
      </c>
      <c r="AO1" s="74" t="s">
        <v>4</v>
      </c>
      <c r="AP1" s="74" t="s">
        <v>142</v>
      </c>
      <c r="AQ1" s="74" t="s">
        <v>144</v>
      </c>
      <c r="AR1" s="74" t="s">
        <v>5</v>
      </c>
      <c r="AS1" s="74" t="s">
        <v>142</v>
      </c>
      <c r="AT1" s="74" t="s">
        <v>144</v>
      </c>
      <c r="AU1" s="74" t="s">
        <v>8</v>
      </c>
      <c r="AV1" s="74" t="s">
        <v>142</v>
      </c>
      <c r="AW1" s="74" t="s">
        <v>144</v>
      </c>
      <c r="AX1" s="74" t="s">
        <v>19</v>
      </c>
      <c r="AY1" s="74" t="s">
        <v>142</v>
      </c>
      <c r="AZ1" s="74" t="s">
        <v>144</v>
      </c>
      <c r="BA1" s="74" t="s">
        <v>20</v>
      </c>
      <c r="BB1" s="74" t="s">
        <v>142</v>
      </c>
      <c r="BC1" s="74" t="s">
        <v>144</v>
      </c>
      <c r="BD1" s="74" t="s">
        <v>21</v>
      </c>
      <c r="BE1" s="74" t="s">
        <v>142</v>
      </c>
      <c r="BF1" s="74" t="s">
        <v>144</v>
      </c>
      <c r="BG1" s="74" t="s">
        <v>22</v>
      </c>
      <c r="BH1" s="74" t="s">
        <v>142</v>
      </c>
      <c r="BI1" s="74" t="s">
        <v>144</v>
      </c>
      <c r="BJ1" s="74" t="s">
        <v>23</v>
      </c>
      <c r="BK1" s="74" t="s">
        <v>142</v>
      </c>
      <c r="BL1" s="74" t="s">
        <v>144</v>
      </c>
      <c r="BM1" s="74" t="s">
        <v>24</v>
      </c>
      <c r="BN1" s="74" t="s">
        <v>142</v>
      </c>
      <c r="BO1" s="74" t="s">
        <v>144</v>
      </c>
      <c r="BP1" s="74" t="s">
        <v>25</v>
      </c>
      <c r="BQ1" s="74" t="s">
        <v>142</v>
      </c>
      <c r="BR1" s="74" t="s">
        <v>144</v>
      </c>
      <c r="BS1" s="74" t="s">
        <v>26</v>
      </c>
      <c r="BT1" s="74" t="s">
        <v>142</v>
      </c>
      <c r="BU1" s="74" t="s">
        <v>144</v>
      </c>
      <c r="BV1" s="74" t="s">
        <v>271</v>
      </c>
      <c r="BW1" s="74" t="s">
        <v>142</v>
      </c>
      <c r="BX1" s="74" t="s">
        <v>144</v>
      </c>
      <c r="BY1" s="74" t="s">
        <v>149</v>
      </c>
      <c r="BZ1" s="74" t="s">
        <v>150</v>
      </c>
      <c r="CA1" s="74" t="s">
        <v>99</v>
      </c>
      <c r="CB1" s="74" t="s">
        <v>151</v>
      </c>
      <c r="CC1" s="74" t="s">
        <v>152</v>
      </c>
      <c r="CD1" s="74" t="s">
        <v>153</v>
      </c>
      <c r="CE1" s="74" t="s">
        <v>154</v>
      </c>
      <c r="CF1" s="74" t="s">
        <v>296</v>
      </c>
      <c r="CG1" s="74" t="s">
        <v>297</v>
      </c>
      <c r="CH1" s="74" t="s">
        <v>298</v>
      </c>
      <c r="CI1" s="74" t="s">
        <v>299</v>
      </c>
      <c r="CJ1" s="74" t="s">
        <v>300</v>
      </c>
      <c r="CK1" s="74" t="s">
        <v>301</v>
      </c>
      <c r="CL1" s="74" t="s">
        <v>302</v>
      </c>
      <c r="CM1" s="74" t="s">
        <v>315</v>
      </c>
      <c r="CN1" s="74" t="s">
        <v>316</v>
      </c>
      <c r="CO1" s="74" t="s">
        <v>714</v>
      </c>
      <c r="CP1" s="61" t="s">
        <v>721</v>
      </c>
      <c r="CQ1" s="61" t="s">
        <v>722</v>
      </c>
      <c r="CR1" s="61" t="s">
        <v>717</v>
      </c>
      <c r="CS1" s="61" t="s">
        <v>718</v>
      </c>
      <c r="CT1" s="61" t="s">
        <v>719</v>
      </c>
      <c r="CU1" s="61" t="s">
        <v>720</v>
      </c>
    </row>
    <row r="2" spans="1:99" s="86" customFormat="1" ht="12.7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0"/>
      <c r="CQ2" s="70"/>
      <c r="CR2" s="70"/>
      <c r="CS2" s="70"/>
      <c r="CT2" s="70"/>
      <c r="CU2" s="70"/>
    </row>
    <row r="3" spans="1:99" s="86" customFormat="1" ht="12.75">
      <c r="A3" s="71"/>
      <c r="B3" s="71" t="s">
        <v>789</v>
      </c>
      <c r="C3" s="71"/>
      <c r="D3" s="71"/>
      <c r="E3" s="71" t="s">
        <v>790</v>
      </c>
      <c r="F3" s="71"/>
      <c r="G3" s="71"/>
      <c r="H3" s="75"/>
      <c r="I3" s="75"/>
      <c r="J3" s="71"/>
      <c r="K3" s="71"/>
      <c r="L3" s="71"/>
      <c r="M3" s="71"/>
      <c r="N3" s="71"/>
      <c r="O3" s="71"/>
      <c r="P3" s="71"/>
      <c r="Q3" s="71"/>
      <c r="R3" s="71"/>
      <c r="S3" s="71"/>
      <c r="T3" s="71"/>
      <c r="U3" s="71"/>
      <c r="V3" s="71" t="s">
        <v>791</v>
      </c>
      <c r="W3" s="76" t="s">
        <v>723</v>
      </c>
      <c r="X3" s="71"/>
      <c r="Y3" s="71"/>
      <c r="Z3" s="76" t="s">
        <v>729</v>
      </c>
      <c r="AA3" s="71"/>
      <c r="AB3" s="71"/>
      <c r="AC3" s="76" t="s">
        <v>726</v>
      </c>
      <c r="AD3" s="71"/>
      <c r="AE3" s="71"/>
      <c r="AF3" s="76" t="s">
        <v>723</v>
      </c>
      <c r="AG3" s="71"/>
      <c r="AH3" s="71"/>
      <c r="AI3" s="76" t="s">
        <v>726</v>
      </c>
      <c r="AJ3" s="71"/>
      <c r="AK3" s="71"/>
      <c r="AL3" s="76" t="s">
        <v>723</v>
      </c>
      <c r="AM3" s="71"/>
      <c r="AN3" s="71"/>
      <c r="AO3" s="76" t="s">
        <v>723</v>
      </c>
      <c r="AP3" s="71"/>
      <c r="AQ3" s="71"/>
      <c r="AR3" s="76" t="s">
        <v>723</v>
      </c>
      <c r="AS3" s="71"/>
      <c r="AT3" s="71"/>
      <c r="AU3" s="76" t="s">
        <v>723</v>
      </c>
      <c r="AV3" s="71"/>
      <c r="AW3" s="71"/>
      <c r="AX3" s="76" t="s">
        <v>723</v>
      </c>
      <c r="AY3" s="71"/>
      <c r="AZ3" s="71"/>
      <c r="BA3" s="76" t="s">
        <v>723</v>
      </c>
      <c r="BB3" s="71"/>
      <c r="BC3" s="71"/>
      <c r="BD3" s="76" t="s">
        <v>724</v>
      </c>
      <c r="BE3" s="71"/>
      <c r="BF3" s="71"/>
      <c r="BG3" s="76" t="s">
        <v>723</v>
      </c>
      <c r="BH3" s="71"/>
      <c r="BI3" s="71"/>
      <c r="BJ3" s="76" t="s">
        <v>723</v>
      </c>
      <c r="BK3" s="71"/>
      <c r="BL3" s="71"/>
      <c r="BM3" s="76" t="s">
        <v>724</v>
      </c>
      <c r="BN3" s="71"/>
      <c r="BO3" s="71"/>
      <c r="BP3" s="76" t="s">
        <v>726</v>
      </c>
      <c r="BQ3" s="71"/>
      <c r="BR3" s="71"/>
      <c r="BS3" s="76" t="s">
        <v>724</v>
      </c>
      <c r="BT3" s="71"/>
      <c r="BU3" s="71"/>
      <c r="BV3" s="76"/>
      <c r="BW3" s="71"/>
      <c r="BX3" s="71"/>
      <c r="BY3" s="76">
        <v>0.7592592592592593</v>
      </c>
      <c r="BZ3" s="76">
        <v>1</v>
      </c>
      <c r="CA3" s="76">
        <v>0.86458333333333326</v>
      </c>
      <c r="CB3" s="76">
        <v>0.61111111111111105</v>
      </c>
      <c r="CC3" s="76">
        <v>0.75000000000000011</v>
      </c>
      <c r="CD3" s="76">
        <v>1</v>
      </c>
      <c r="CE3" s="76">
        <v>1</v>
      </c>
      <c r="CF3" s="71"/>
      <c r="CG3" s="71"/>
      <c r="CH3" s="71"/>
      <c r="CI3" s="71"/>
      <c r="CJ3" s="71"/>
      <c r="CK3" s="71"/>
      <c r="CL3" s="71"/>
      <c r="CM3" s="71"/>
      <c r="CN3" s="71"/>
      <c r="CO3" s="71"/>
      <c r="CP3" s="70">
        <v>44429.885750231479</v>
      </c>
      <c r="CQ3" s="70"/>
      <c r="CR3" s="70"/>
      <c r="CS3" s="70"/>
      <c r="CT3" s="70"/>
      <c r="CU3" s="70"/>
    </row>
    <row r="4" spans="1:99" s="86" customFormat="1" ht="12.75">
      <c r="A4" s="71"/>
      <c r="B4" s="71" t="s">
        <v>786</v>
      </c>
      <c r="C4" s="71"/>
      <c r="D4" s="71"/>
      <c r="E4" s="71" t="s">
        <v>785</v>
      </c>
      <c r="F4" s="71"/>
      <c r="G4" s="71"/>
      <c r="H4" s="75"/>
      <c r="I4" s="75"/>
      <c r="J4" s="71"/>
      <c r="K4" s="71"/>
      <c r="L4" s="71"/>
      <c r="M4" s="71"/>
      <c r="N4" s="71"/>
      <c r="O4" s="71"/>
      <c r="P4" s="71"/>
      <c r="Q4" s="71"/>
      <c r="R4" s="71"/>
      <c r="S4" s="71"/>
      <c r="T4" s="71"/>
      <c r="U4" s="71"/>
      <c r="V4" s="71" t="s">
        <v>788</v>
      </c>
      <c r="W4" s="76" t="s">
        <v>723</v>
      </c>
      <c r="X4" s="71"/>
      <c r="Y4" s="71"/>
      <c r="Z4" s="76" t="s">
        <v>729</v>
      </c>
      <c r="AA4" s="71"/>
      <c r="AB4" s="71"/>
      <c r="AC4" s="76" t="s">
        <v>723</v>
      </c>
      <c r="AD4" s="71"/>
      <c r="AE4" s="71"/>
      <c r="AF4" s="76" t="s">
        <v>723</v>
      </c>
      <c r="AG4" s="71"/>
      <c r="AH4" s="71"/>
      <c r="AI4" s="76" t="s">
        <v>723</v>
      </c>
      <c r="AJ4" s="71"/>
      <c r="AK4" s="71"/>
      <c r="AL4" s="76" t="s">
        <v>723</v>
      </c>
      <c r="AM4" s="71"/>
      <c r="AN4" s="71"/>
      <c r="AO4" s="76" t="s">
        <v>723</v>
      </c>
      <c r="AP4" s="71"/>
      <c r="AQ4" s="71"/>
      <c r="AR4" s="76" t="s">
        <v>723</v>
      </c>
      <c r="AS4" s="71"/>
      <c r="AT4" s="71"/>
      <c r="AU4" s="76" t="s">
        <v>723</v>
      </c>
      <c r="AV4" s="71"/>
      <c r="AW4" s="71"/>
      <c r="AX4" s="76" t="s">
        <v>723</v>
      </c>
      <c r="AY4" s="71"/>
      <c r="AZ4" s="71"/>
      <c r="BA4" s="76" t="s">
        <v>723</v>
      </c>
      <c r="BB4" s="71"/>
      <c r="BC4" s="71"/>
      <c r="BD4" s="76" t="s">
        <v>724</v>
      </c>
      <c r="BE4" s="71"/>
      <c r="BF4" s="71"/>
      <c r="BG4" s="76" t="s">
        <v>723</v>
      </c>
      <c r="BH4" s="71"/>
      <c r="BI4" s="71"/>
      <c r="BJ4" s="76" t="s">
        <v>723</v>
      </c>
      <c r="BK4" s="71"/>
      <c r="BL4" s="71"/>
      <c r="BM4" s="76" t="s">
        <v>724</v>
      </c>
      <c r="BN4" s="71"/>
      <c r="BO4" s="71"/>
      <c r="BP4" s="76" t="s">
        <v>723</v>
      </c>
      <c r="BQ4" s="71"/>
      <c r="BR4" s="71"/>
      <c r="BS4" s="76" t="s">
        <v>724</v>
      </c>
      <c r="BT4" s="71"/>
      <c r="BU4" s="71"/>
      <c r="BV4" s="76"/>
      <c r="BW4" s="71"/>
      <c r="BX4" s="71"/>
      <c r="BY4" s="76">
        <v>1</v>
      </c>
      <c r="BZ4" s="76">
        <v>1</v>
      </c>
      <c r="CA4" s="76">
        <v>1</v>
      </c>
      <c r="CB4" s="76">
        <v>1</v>
      </c>
      <c r="CC4" s="76">
        <v>1</v>
      </c>
      <c r="CD4" s="76">
        <v>1</v>
      </c>
      <c r="CE4" s="76">
        <v>1</v>
      </c>
      <c r="CF4" s="71"/>
      <c r="CG4" s="71"/>
      <c r="CH4" s="71"/>
      <c r="CI4" s="71"/>
      <c r="CJ4" s="71"/>
      <c r="CK4" s="71"/>
      <c r="CL4" s="71"/>
      <c r="CM4" s="71"/>
      <c r="CN4" s="71"/>
      <c r="CO4" s="71"/>
      <c r="CP4" s="70">
        <v>44429.876080555558</v>
      </c>
      <c r="CQ4" s="70"/>
      <c r="CR4" s="70"/>
      <c r="CS4" s="70"/>
      <c r="CT4" s="70"/>
      <c r="CU4" s="70"/>
    </row>
    <row r="5" spans="1:99" s="86" customFormat="1" ht="12.75">
      <c r="A5" s="71"/>
      <c r="B5" s="71" t="s">
        <v>785</v>
      </c>
      <c r="C5" s="71"/>
      <c r="D5" s="71"/>
      <c r="E5" s="71" t="s">
        <v>786</v>
      </c>
      <c r="F5" s="71"/>
      <c r="G5" s="71"/>
      <c r="H5" s="75"/>
      <c r="I5" s="75"/>
      <c r="J5" s="71"/>
      <c r="K5" s="71"/>
      <c r="L5" s="71"/>
      <c r="M5" s="71"/>
      <c r="N5" s="71"/>
      <c r="O5" s="71"/>
      <c r="P5" s="71"/>
      <c r="Q5" s="71"/>
      <c r="R5" s="71"/>
      <c r="S5" s="71"/>
      <c r="T5" s="71"/>
      <c r="U5" s="71"/>
      <c r="V5" s="71" t="s">
        <v>787</v>
      </c>
      <c r="W5" s="76" t="s">
        <v>723</v>
      </c>
      <c r="X5" s="71"/>
      <c r="Y5" s="71"/>
      <c r="Z5" s="76" t="s">
        <v>729</v>
      </c>
      <c r="AA5" s="71"/>
      <c r="AB5" s="71"/>
      <c r="AC5" s="76" t="s">
        <v>726</v>
      </c>
      <c r="AD5" s="71"/>
      <c r="AE5" s="71"/>
      <c r="AF5" s="76" t="s">
        <v>726</v>
      </c>
      <c r="AG5" s="71"/>
      <c r="AH5" s="71"/>
      <c r="AI5" s="76" t="s">
        <v>726</v>
      </c>
      <c r="AJ5" s="71"/>
      <c r="AK5" s="71"/>
      <c r="AL5" s="76" t="s">
        <v>723</v>
      </c>
      <c r="AM5" s="71"/>
      <c r="AN5" s="71"/>
      <c r="AO5" s="76" t="s">
        <v>723</v>
      </c>
      <c r="AP5" s="71"/>
      <c r="AQ5" s="71"/>
      <c r="AR5" s="76" t="s">
        <v>723</v>
      </c>
      <c r="AS5" s="71"/>
      <c r="AT5" s="71"/>
      <c r="AU5" s="76" t="s">
        <v>723</v>
      </c>
      <c r="AV5" s="71"/>
      <c r="AW5" s="71"/>
      <c r="AX5" s="76" t="s">
        <v>726</v>
      </c>
      <c r="AY5" s="71"/>
      <c r="AZ5" s="71"/>
      <c r="BA5" s="76" t="s">
        <v>723</v>
      </c>
      <c r="BB5" s="71"/>
      <c r="BC5" s="71"/>
      <c r="BD5" s="76" t="s">
        <v>724</v>
      </c>
      <c r="BE5" s="71"/>
      <c r="BF5" s="71"/>
      <c r="BG5" s="76" t="s">
        <v>725</v>
      </c>
      <c r="BH5" s="71"/>
      <c r="BI5" s="71"/>
      <c r="BJ5" s="76" t="s">
        <v>726</v>
      </c>
      <c r="BK5" s="71"/>
      <c r="BL5" s="71"/>
      <c r="BM5" s="76" t="s">
        <v>724</v>
      </c>
      <c r="BN5" s="71"/>
      <c r="BO5" s="71"/>
      <c r="BP5" s="76" t="s">
        <v>726</v>
      </c>
      <c r="BQ5" s="71"/>
      <c r="BR5" s="71"/>
      <c r="BS5" s="76" t="s">
        <v>724</v>
      </c>
      <c r="BT5" s="71"/>
      <c r="BU5" s="71"/>
      <c r="BV5" s="76"/>
      <c r="BW5" s="71"/>
      <c r="BX5" s="71"/>
      <c r="BY5" s="76">
        <v>0.67592592592592615</v>
      </c>
      <c r="BZ5" s="76">
        <v>1</v>
      </c>
      <c r="CA5" s="76">
        <v>0.76041666666666663</v>
      </c>
      <c r="CB5" s="76">
        <v>0.61111111111111105</v>
      </c>
      <c r="CC5" s="76">
        <v>0.5</v>
      </c>
      <c r="CD5" s="76">
        <v>1</v>
      </c>
      <c r="CE5" s="76">
        <v>0.7777777777777779</v>
      </c>
      <c r="CF5" s="71"/>
      <c r="CG5" s="71"/>
      <c r="CH5" s="71"/>
      <c r="CI5" s="71"/>
      <c r="CJ5" s="71"/>
      <c r="CK5" s="71"/>
      <c r="CL5" s="71"/>
      <c r="CM5" s="71"/>
      <c r="CN5" s="71"/>
      <c r="CO5" s="71"/>
      <c r="CP5" s="70">
        <v>44429.86558553241</v>
      </c>
      <c r="CQ5" s="70"/>
      <c r="CR5" s="70"/>
      <c r="CS5" s="70"/>
      <c r="CT5" s="70"/>
      <c r="CU5" s="70"/>
    </row>
    <row r="6" spans="1:99" s="86" customFormat="1" ht="12.75">
      <c r="A6" s="145"/>
      <c r="B6" s="145"/>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70"/>
      <c r="CR6" s="70"/>
      <c r="CS6" s="70"/>
      <c r="CT6" s="70"/>
      <c r="CU6" s="70"/>
    </row>
    <row r="7" spans="1:99" s="86" customFormat="1" ht="12.75">
      <c r="A7" s="145"/>
      <c r="B7" s="145"/>
      <c r="C7" s="145"/>
      <c r="D7" s="145"/>
      <c r="E7" s="145"/>
      <c r="F7" s="145"/>
      <c r="G7" s="145"/>
      <c r="H7" s="145"/>
      <c r="I7" s="145"/>
      <c r="J7" s="145"/>
      <c r="K7" s="145"/>
      <c r="L7" s="145"/>
      <c r="M7" s="145"/>
      <c r="N7" s="145"/>
      <c r="O7" s="145"/>
      <c r="P7" s="145"/>
      <c r="Q7" s="145"/>
      <c r="R7" s="145"/>
      <c r="S7" s="145"/>
      <c r="T7" s="145"/>
      <c r="U7" s="145"/>
      <c r="V7" s="145"/>
      <c r="W7" s="145"/>
      <c r="X7" s="145"/>
      <c r="Y7" s="145"/>
      <c r="Z7" s="145"/>
      <c r="AA7" s="145"/>
      <c r="AB7" s="145"/>
      <c r="AC7" s="145"/>
      <c r="AD7" s="145"/>
      <c r="AE7" s="145"/>
      <c r="AF7" s="145"/>
      <c r="AG7" s="145"/>
      <c r="AH7" s="145"/>
      <c r="AI7" s="145"/>
      <c r="AJ7" s="145"/>
      <c r="AK7" s="145"/>
      <c r="AL7" s="145"/>
      <c r="AM7" s="145"/>
      <c r="AN7" s="145"/>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c r="BY7" s="145"/>
      <c r="BZ7" s="145"/>
      <c r="CA7" s="145"/>
      <c r="CB7" s="145"/>
      <c r="CC7" s="145"/>
      <c r="CD7" s="145"/>
      <c r="CE7" s="145"/>
      <c r="CF7" s="145"/>
      <c r="CG7" s="145"/>
      <c r="CH7" s="145"/>
      <c r="CI7" s="145"/>
      <c r="CJ7" s="145"/>
      <c r="CK7" s="145"/>
      <c r="CL7" s="145"/>
      <c r="CM7" s="145"/>
      <c r="CN7" s="145"/>
      <c r="CO7" s="145"/>
      <c r="CP7" s="145"/>
      <c r="CQ7" s="70"/>
      <c r="CR7" s="70"/>
      <c r="CS7" s="70"/>
      <c r="CT7" s="70"/>
      <c r="CU7" s="70"/>
    </row>
    <row r="8" spans="1:99" s="86" customFormat="1" ht="12.75">
      <c r="A8" s="145"/>
      <c r="B8" s="145"/>
      <c r="C8" s="145"/>
      <c r="D8" s="145"/>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70"/>
      <c r="CR8" s="70"/>
      <c r="CS8" s="70"/>
      <c r="CT8" s="70"/>
      <c r="CU8" s="70"/>
    </row>
    <row r="9" spans="1:99" s="86" customFormat="1" ht="12.75">
      <c r="A9" s="145"/>
      <c r="B9" s="145"/>
      <c r="C9" s="145"/>
      <c r="D9" s="145"/>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145"/>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70"/>
      <c r="CR9" s="70"/>
      <c r="CS9" s="70"/>
      <c r="CT9" s="70"/>
      <c r="CU9" s="70"/>
    </row>
    <row r="10" spans="1:99" s="86" customFormat="1" ht="12.7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70"/>
      <c r="CR10" s="70"/>
      <c r="CS10" s="70"/>
      <c r="CT10" s="70"/>
      <c r="CU10" s="70"/>
    </row>
    <row r="11" spans="1:99" s="86" customFormat="1" ht="12.75">
      <c r="A11" s="145"/>
      <c r="B11" s="145"/>
      <c r="C11" s="145"/>
      <c r="D11" s="145"/>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70"/>
      <c r="CR11" s="70"/>
      <c r="CS11" s="70"/>
      <c r="CT11" s="70"/>
      <c r="CU11" s="70"/>
    </row>
    <row r="12" spans="1:99" s="86" customFormat="1" ht="12.75">
      <c r="A12" s="145"/>
      <c r="B12" s="145"/>
      <c r="C12" s="145"/>
      <c r="D12" s="145"/>
      <c r="E12" s="145"/>
      <c r="F12" s="145"/>
      <c r="G12" s="145"/>
      <c r="H12" s="145"/>
      <c r="I12" s="145"/>
      <c r="J12" s="145"/>
      <c r="K12" s="145"/>
      <c r="L12" s="145"/>
      <c r="M12" s="145"/>
      <c r="N12" s="145"/>
      <c r="O12" s="145"/>
      <c r="P12" s="145"/>
      <c r="Q12" s="145"/>
      <c r="R12" s="145"/>
      <c r="S12" s="145"/>
      <c r="T12" s="145"/>
      <c r="U12" s="145"/>
      <c r="V12" s="145"/>
      <c r="W12" s="145"/>
      <c r="X12" s="145"/>
      <c r="Y12" s="145"/>
      <c r="Z12" s="145"/>
      <c r="AA12" s="145"/>
      <c r="AB12" s="145"/>
      <c r="AC12" s="145"/>
      <c r="AD12" s="145"/>
      <c r="AE12" s="145"/>
      <c r="AF12" s="145"/>
      <c r="AG12" s="145"/>
      <c r="AH12" s="145"/>
      <c r="AI12" s="145"/>
      <c r="AJ12" s="145"/>
      <c r="AK12" s="145"/>
      <c r="AL12" s="145"/>
      <c r="AM12" s="145"/>
      <c r="AN12" s="145"/>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c r="BO12" s="145"/>
      <c r="BP12" s="145"/>
      <c r="BQ12" s="145"/>
      <c r="BR12" s="145"/>
      <c r="BS12" s="145"/>
      <c r="BT12" s="145"/>
      <c r="BU12" s="145"/>
      <c r="BV12" s="145"/>
      <c r="BW12" s="145"/>
      <c r="BX12" s="145"/>
      <c r="BY12" s="145"/>
      <c r="BZ12" s="145"/>
      <c r="CA12" s="145"/>
      <c r="CB12" s="145"/>
      <c r="CC12" s="145"/>
      <c r="CD12" s="145"/>
      <c r="CE12" s="145"/>
      <c r="CF12" s="145"/>
      <c r="CG12" s="145"/>
      <c r="CH12" s="145"/>
      <c r="CI12" s="145"/>
      <c r="CJ12" s="145"/>
      <c r="CK12" s="145"/>
      <c r="CL12" s="145"/>
      <c r="CM12" s="145"/>
      <c r="CN12" s="145"/>
      <c r="CO12" s="145"/>
      <c r="CP12" s="145"/>
      <c r="CQ12" s="70"/>
      <c r="CR12" s="70"/>
      <c r="CS12" s="70"/>
      <c r="CT12" s="70"/>
      <c r="CU12" s="70"/>
    </row>
    <row r="13" spans="1:99" s="86" customFormat="1" ht="12.75">
      <c r="A13" s="145"/>
      <c r="B13" s="145"/>
      <c r="C13" s="145"/>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5"/>
      <c r="AH13" s="145"/>
      <c r="AI13" s="145"/>
      <c r="AJ13" s="145"/>
      <c r="AK13" s="145"/>
      <c r="AL13" s="145"/>
      <c r="AM13" s="145"/>
      <c r="AN13" s="145"/>
      <c r="AO13" s="145"/>
      <c r="AP13" s="145"/>
      <c r="AQ13" s="145"/>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c r="BX13" s="145"/>
      <c r="BY13" s="145"/>
      <c r="BZ13" s="145"/>
      <c r="CA13" s="145"/>
      <c r="CB13" s="145"/>
      <c r="CC13" s="145"/>
      <c r="CD13" s="145"/>
      <c r="CE13" s="145"/>
      <c r="CF13" s="145"/>
      <c r="CG13" s="145"/>
      <c r="CH13" s="145"/>
      <c r="CI13" s="145"/>
      <c r="CJ13" s="145"/>
      <c r="CK13" s="145"/>
      <c r="CL13" s="145"/>
      <c r="CM13" s="145"/>
      <c r="CN13" s="145"/>
      <c r="CO13" s="145"/>
      <c r="CP13" s="145"/>
      <c r="CQ13" s="70"/>
      <c r="CR13" s="70"/>
      <c r="CS13" s="70"/>
      <c r="CT13" s="70"/>
      <c r="CU13" s="70"/>
    </row>
    <row r="14" spans="1:99" s="145" customFormat="1" ht="12.75">
      <c r="A14" s="71"/>
      <c r="B14" s="71"/>
      <c r="C14" s="71"/>
      <c r="D14" s="71"/>
      <c r="E14" s="71"/>
      <c r="F14" s="71"/>
      <c r="G14" s="71"/>
      <c r="H14" s="93"/>
      <c r="I14" s="71"/>
      <c r="J14" s="71"/>
      <c r="K14" s="71"/>
      <c r="L14" s="71"/>
      <c r="M14" s="71"/>
      <c r="N14" s="71"/>
      <c r="O14" s="71"/>
      <c r="P14" s="71"/>
      <c r="Q14" s="71"/>
      <c r="R14" s="71"/>
      <c r="S14" s="71"/>
      <c r="T14" s="71"/>
      <c r="U14" s="71"/>
      <c r="V14" s="71"/>
      <c r="W14" s="76"/>
      <c r="X14" s="71"/>
      <c r="Y14" s="71"/>
      <c r="Z14" s="76"/>
      <c r="AA14" s="71"/>
      <c r="AB14" s="71"/>
      <c r="AC14" s="76"/>
      <c r="AD14" s="71"/>
      <c r="AE14" s="71"/>
      <c r="AF14" s="76"/>
      <c r="AG14" s="71"/>
      <c r="AH14" s="71"/>
      <c r="AI14" s="76"/>
      <c r="AJ14" s="71"/>
      <c r="AK14" s="71"/>
      <c r="AL14" s="76"/>
      <c r="AM14" s="71"/>
      <c r="AN14" s="71"/>
      <c r="AO14" s="76"/>
      <c r="AP14" s="71"/>
      <c r="AQ14" s="71"/>
      <c r="AR14" s="76"/>
      <c r="AS14" s="71"/>
      <c r="AT14" s="71"/>
      <c r="AU14" s="76"/>
      <c r="AV14" s="71"/>
      <c r="AW14" s="71"/>
      <c r="AX14" s="76"/>
      <c r="AY14" s="71"/>
      <c r="AZ14" s="71"/>
      <c r="BA14" s="76"/>
      <c r="BB14" s="71"/>
      <c r="BC14" s="71"/>
      <c r="BD14" s="76"/>
      <c r="BE14" s="71"/>
      <c r="BF14" s="71"/>
      <c r="BG14" s="76"/>
      <c r="BH14" s="71"/>
      <c r="BI14" s="71"/>
      <c r="BJ14" s="76"/>
      <c r="BK14" s="71"/>
      <c r="BL14" s="71"/>
      <c r="BM14" s="76"/>
      <c r="BN14" s="71"/>
      <c r="BO14" s="71"/>
      <c r="BP14" s="76"/>
      <c r="BQ14" s="71"/>
      <c r="BR14" s="71"/>
      <c r="BS14" s="76"/>
      <c r="BT14" s="71"/>
      <c r="BU14" s="71"/>
      <c r="BV14" s="76"/>
      <c r="BW14" s="71"/>
      <c r="BX14" s="71"/>
      <c r="BY14" s="76"/>
      <c r="BZ14" s="76"/>
      <c r="CA14" s="76"/>
      <c r="CB14" s="76"/>
      <c r="CC14" s="76"/>
      <c r="CD14" s="76"/>
      <c r="CE14" s="76"/>
      <c r="CF14" s="71"/>
      <c r="CG14" s="71"/>
      <c r="CH14" s="71"/>
      <c r="CI14" s="71"/>
      <c r="CJ14" s="71"/>
      <c r="CK14" s="71"/>
      <c r="CL14" s="71"/>
      <c r="CM14" s="71"/>
      <c r="CN14" s="71"/>
      <c r="CO14" s="71"/>
      <c r="CP14" s="70"/>
      <c r="CQ14" s="70"/>
      <c r="CR14" s="70"/>
      <c r="CS14" s="70"/>
      <c r="CT14" s="70"/>
      <c r="CU14" s="70"/>
    </row>
    <row r="15" spans="1:99" s="145" customFormat="1" ht="12.75">
      <c r="D15" s="71"/>
      <c r="E15" s="71"/>
      <c r="F15" s="71"/>
      <c r="G15" s="71"/>
      <c r="H15" s="93"/>
      <c r="I15" s="71"/>
      <c r="J15" s="71"/>
      <c r="K15" s="71"/>
      <c r="L15" s="71"/>
      <c r="M15" s="71"/>
      <c r="N15" s="71"/>
      <c r="O15" s="71"/>
      <c r="P15" s="71"/>
      <c r="Q15" s="71"/>
      <c r="R15" s="71"/>
      <c r="S15" s="71"/>
      <c r="T15" s="71"/>
      <c r="U15" s="71"/>
      <c r="V15" s="71"/>
      <c r="W15" s="76"/>
      <c r="X15" s="71"/>
      <c r="Y15" s="71"/>
      <c r="Z15" s="76"/>
      <c r="AA15" s="71"/>
      <c r="AB15" s="71"/>
      <c r="AC15" s="76"/>
      <c r="AD15" s="71"/>
      <c r="AE15" s="71"/>
      <c r="AF15" s="76"/>
      <c r="AG15" s="71"/>
      <c r="AH15" s="71"/>
      <c r="AI15" s="76"/>
      <c r="AJ15" s="71"/>
      <c r="AK15" s="71"/>
      <c r="AL15" s="76"/>
      <c r="AM15" s="71"/>
      <c r="AN15" s="71"/>
      <c r="AO15" s="76"/>
      <c r="AP15" s="71"/>
      <c r="AQ15" s="71"/>
      <c r="AR15" s="76"/>
      <c r="AS15" s="71"/>
      <c r="AT15" s="71"/>
      <c r="AU15" s="76"/>
      <c r="AV15" s="71"/>
      <c r="AW15" s="71"/>
      <c r="AX15" s="76"/>
      <c r="AY15" s="71"/>
      <c r="AZ15" s="71"/>
      <c r="BA15" s="76"/>
      <c r="BB15" s="71"/>
      <c r="BC15" s="71"/>
      <c r="BD15" s="76"/>
      <c r="BE15" s="71"/>
      <c r="BF15" s="71"/>
      <c r="BG15" s="76"/>
      <c r="BH15" s="71"/>
      <c r="BI15" s="71"/>
      <c r="BJ15" s="76"/>
      <c r="BK15" s="71"/>
      <c r="BL15" s="71"/>
      <c r="BM15" s="76"/>
      <c r="BN15" s="71"/>
      <c r="BO15" s="71"/>
      <c r="BP15" s="76"/>
      <c r="BQ15" s="71"/>
      <c r="BR15" s="71"/>
      <c r="BS15" s="76"/>
      <c r="BT15" s="71"/>
      <c r="BU15" s="71"/>
      <c r="BV15" s="76"/>
      <c r="BW15" s="71"/>
      <c r="BX15" s="71"/>
      <c r="BY15" s="76"/>
      <c r="BZ15" s="76"/>
      <c r="CA15" s="76"/>
      <c r="CB15" s="76"/>
      <c r="CC15" s="76"/>
      <c r="CD15" s="76"/>
      <c r="CE15" s="76"/>
      <c r="CF15" s="71"/>
      <c r="CG15" s="71"/>
      <c r="CH15" s="71"/>
      <c r="CI15" s="71"/>
      <c r="CJ15" s="71"/>
      <c r="CK15" s="71"/>
      <c r="CL15" s="71"/>
      <c r="CM15" s="71"/>
      <c r="CN15" s="71"/>
      <c r="CO15" s="71"/>
      <c r="CP15" s="70"/>
      <c r="CQ15" s="70"/>
      <c r="CR15" s="70"/>
      <c r="CS15" s="70"/>
      <c r="CT15" s="70"/>
      <c r="CU15" s="70"/>
    </row>
    <row r="16" spans="1:99" s="145" customFormat="1" ht="12.75">
      <c r="A16" s="71"/>
      <c r="B16" s="71"/>
      <c r="C16" s="71"/>
      <c r="CQ16" s="70"/>
      <c r="CR16" s="70"/>
      <c r="CS16" s="70"/>
      <c r="CT16" s="70"/>
      <c r="CU16" s="70"/>
    </row>
    <row r="17" spans="1:99" s="145" customFormat="1" ht="12.75">
      <c r="A17" s="71"/>
      <c r="B17" s="71"/>
      <c r="C17" s="71"/>
      <c r="D17" s="71"/>
      <c r="E17" s="71"/>
      <c r="F17" s="71"/>
      <c r="G17" s="71"/>
      <c r="H17" s="93"/>
      <c r="I17" s="71"/>
      <c r="J17" s="71"/>
      <c r="K17" s="71"/>
      <c r="L17" s="71"/>
      <c r="M17" s="71"/>
      <c r="N17" s="71"/>
      <c r="O17" s="71"/>
      <c r="P17" s="71"/>
      <c r="Q17" s="71"/>
      <c r="R17" s="71"/>
      <c r="S17" s="71"/>
      <c r="T17" s="71"/>
      <c r="U17" s="71"/>
      <c r="V17" s="71"/>
      <c r="W17" s="76"/>
      <c r="X17" s="71"/>
      <c r="Y17" s="71"/>
      <c r="Z17" s="76"/>
      <c r="AA17" s="71"/>
      <c r="AB17" s="71"/>
      <c r="AC17" s="76"/>
      <c r="AD17" s="71"/>
      <c r="AE17" s="71"/>
      <c r="AF17" s="76"/>
      <c r="AG17" s="71"/>
      <c r="AH17" s="71"/>
      <c r="AI17" s="76"/>
      <c r="AJ17" s="71"/>
      <c r="AK17" s="71"/>
      <c r="AL17" s="76"/>
      <c r="AM17" s="71"/>
      <c r="AN17" s="71"/>
      <c r="AO17" s="76"/>
      <c r="AP17" s="71"/>
      <c r="AQ17" s="71"/>
      <c r="AR17" s="76"/>
      <c r="AS17" s="71"/>
      <c r="AT17" s="71"/>
      <c r="AU17" s="76"/>
      <c r="AV17" s="71"/>
      <c r="AW17" s="71"/>
      <c r="AX17" s="76"/>
      <c r="AY17" s="71"/>
      <c r="AZ17" s="71"/>
      <c r="BA17" s="76"/>
      <c r="BB17" s="71"/>
      <c r="BC17" s="71"/>
      <c r="BD17" s="76"/>
      <c r="BE17" s="71"/>
      <c r="BF17" s="71"/>
      <c r="BG17" s="76"/>
      <c r="BH17" s="71"/>
      <c r="BI17" s="71"/>
      <c r="BJ17" s="76"/>
      <c r="BK17" s="71"/>
      <c r="BL17" s="71"/>
      <c r="BM17" s="76"/>
      <c r="BN17" s="71"/>
      <c r="BO17" s="71"/>
      <c r="BP17" s="76"/>
      <c r="BQ17" s="71"/>
      <c r="BR17" s="71"/>
      <c r="BS17" s="76"/>
      <c r="BT17" s="71"/>
      <c r="BU17" s="71"/>
      <c r="BV17" s="76"/>
      <c r="BW17" s="71"/>
      <c r="BX17" s="71"/>
      <c r="BY17" s="76"/>
      <c r="BZ17" s="76"/>
      <c r="CA17" s="76"/>
      <c r="CB17" s="76"/>
      <c r="CC17" s="76"/>
      <c r="CD17" s="76"/>
      <c r="CE17" s="76"/>
      <c r="CF17" s="71"/>
      <c r="CG17" s="71"/>
      <c r="CH17" s="71"/>
      <c r="CI17" s="71"/>
      <c r="CJ17" s="71"/>
      <c r="CK17" s="71"/>
      <c r="CL17" s="71"/>
      <c r="CM17" s="71"/>
      <c r="CN17" s="71"/>
      <c r="CO17" s="71"/>
      <c r="CP17" s="70"/>
      <c r="CQ17" s="70"/>
      <c r="CR17" s="70"/>
      <c r="CS17" s="70"/>
      <c r="CT17" s="70"/>
      <c r="CU17" s="70"/>
    </row>
    <row r="18" spans="1:99" s="86" customFormat="1" ht="12.75">
      <c r="A18" s="145"/>
      <c r="B18" s="145"/>
      <c r="C18" s="145"/>
      <c r="D18" s="71"/>
      <c r="E18" s="71"/>
      <c r="F18" s="71"/>
      <c r="G18" s="71"/>
      <c r="H18" s="93"/>
      <c r="I18" s="71"/>
      <c r="J18" s="71"/>
      <c r="K18" s="71"/>
      <c r="L18" s="71"/>
      <c r="M18" s="71"/>
      <c r="N18" s="71"/>
      <c r="O18" s="71"/>
      <c r="P18" s="71"/>
      <c r="Q18" s="71"/>
      <c r="R18" s="71"/>
      <c r="S18" s="71"/>
      <c r="T18" s="71"/>
      <c r="U18" s="71"/>
      <c r="V18" s="71"/>
      <c r="W18" s="76"/>
      <c r="X18" s="71"/>
      <c r="Y18" s="71"/>
      <c r="Z18" s="76"/>
      <c r="AA18" s="71"/>
      <c r="AB18" s="71"/>
      <c r="AC18" s="76"/>
      <c r="AD18" s="71"/>
      <c r="AE18" s="71"/>
      <c r="AF18" s="76"/>
      <c r="AG18" s="71"/>
      <c r="AH18" s="71"/>
      <c r="AI18" s="76"/>
      <c r="AJ18" s="71"/>
      <c r="AK18" s="71"/>
      <c r="AL18" s="76"/>
      <c r="AM18" s="71"/>
      <c r="AN18" s="71"/>
      <c r="AO18" s="76"/>
      <c r="AP18" s="71"/>
      <c r="AQ18" s="71"/>
      <c r="AR18" s="76"/>
      <c r="AS18" s="71"/>
      <c r="AT18" s="71"/>
      <c r="AU18" s="76"/>
      <c r="AV18" s="71"/>
      <c r="AW18" s="71"/>
      <c r="AX18" s="76"/>
      <c r="AY18" s="71"/>
      <c r="AZ18" s="71"/>
      <c r="BA18" s="76"/>
      <c r="BB18" s="71"/>
      <c r="BC18" s="71"/>
      <c r="BD18" s="76"/>
      <c r="BE18" s="71"/>
      <c r="BF18" s="71"/>
      <c r="BG18" s="76"/>
      <c r="BH18" s="71"/>
      <c r="BI18" s="71"/>
      <c r="BJ18" s="76"/>
      <c r="BK18" s="71"/>
      <c r="BL18" s="71"/>
      <c r="BM18" s="76"/>
      <c r="BN18" s="71"/>
      <c r="BO18" s="71"/>
      <c r="BP18" s="76"/>
      <c r="BQ18" s="71"/>
      <c r="BR18" s="71"/>
      <c r="BS18" s="76"/>
      <c r="BT18" s="71"/>
      <c r="BU18" s="71"/>
      <c r="BV18" s="76"/>
      <c r="BW18" s="71"/>
      <c r="BX18" s="71"/>
      <c r="BY18" s="76"/>
      <c r="BZ18" s="76"/>
      <c r="CA18" s="76"/>
      <c r="CB18" s="76"/>
      <c r="CC18" s="76"/>
      <c r="CD18" s="76"/>
      <c r="CE18" s="76"/>
      <c r="CF18" s="71"/>
      <c r="CG18" s="71"/>
      <c r="CH18" s="71"/>
      <c r="CI18" s="71"/>
      <c r="CJ18" s="71"/>
      <c r="CK18" s="71"/>
      <c r="CL18" s="71"/>
      <c r="CM18" s="71"/>
      <c r="CN18" s="71"/>
      <c r="CO18" s="71"/>
      <c r="CP18" s="70"/>
      <c r="CQ18" s="70"/>
      <c r="CR18" s="70"/>
      <c r="CS18" s="70"/>
      <c r="CT18" s="70"/>
      <c r="CU18" s="70"/>
    </row>
    <row r="19" spans="1:99" s="86" customFormat="1" ht="12.75">
      <c r="A19" s="71"/>
      <c r="B19" s="71"/>
      <c r="C19" s="71"/>
      <c r="D19" s="71"/>
      <c r="E19" s="71"/>
      <c r="F19" s="71"/>
      <c r="G19" s="71"/>
      <c r="H19" s="93"/>
      <c r="I19" s="71"/>
      <c r="J19" s="71"/>
      <c r="K19" s="71"/>
      <c r="L19" s="71"/>
      <c r="M19" s="71"/>
      <c r="N19" s="71"/>
      <c r="O19" s="71"/>
      <c r="P19" s="71"/>
      <c r="Q19" s="71"/>
      <c r="R19" s="71"/>
      <c r="S19" s="71"/>
      <c r="T19" s="71"/>
      <c r="U19" s="71"/>
      <c r="V19" s="71"/>
      <c r="W19" s="76"/>
      <c r="X19" s="71"/>
      <c r="Y19" s="71"/>
      <c r="Z19" s="76"/>
      <c r="AA19" s="71"/>
      <c r="AB19" s="71"/>
      <c r="AC19" s="76"/>
      <c r="AD19" s="71"/>
      <c r="AE19" s="71"/>
      <c r="AF19" s="76"/>
      <c r="AG19" s="71"/>
      <c r="AH19" s="71"/>
      <c r="AI19" s="76"/>
      <c r="AJ19" s="71"/>
      <c r="AK19" s="71"/>
      <c r="AL19" s="76"/>
      <c r="AM19" s="71"/>
      <c r="AN19" s="71"/>
      <c r="AO19" s="76"/>
      <c r="AP19" s="71"/>
      <c r="AQ19" s="71"/>
      <c r="AR19" s="76"/>
      <c r="AS19" s="71"/>
      <c r="AT19" s="71"/>
      <c r="AU19" s="76"/>
      <c r="AV19" s="71"/>
      <c r="AW19" s="71"/>
      <c r="AX19" s="76"/>
      <c r="AY19" s="71"/>
      <c r="AZ19" s="71"/>
      <c r="BA19" s="76"/>
      <c r="BB19" s="71"/>
      <c r="BC19" s="71"/>
      <c r="BD19" s="76"/>
      <c r="BE19" s="71"/>
      <c r="BF19" s="71"/>
      <c r="BG19" s="76"/>
      <c r="BH19" s="71"/>
      <c r="BI19" s="71"/>
      <c r="BJ19" s="76"/>
      <c r="BK19" s="71"/>
      <c r="BL19" s="71"/>
      <c r="BM19" s="76"/>
      <c r="BN19" s="71"/>
      <c r="BO19" s="71"/>
      <c r="BP19" s="76"/>
      <c r="BQ19" s="71"/>
      <c r="BR19" s="71"/>
      <c r="BS19" s="76"/>
      <c r="BT19" s="71"/>
      <c r="BU19" s="71"/>
      <c r="BV19" s="76"/>
      <c r="BW19" s="71"/>
      <c r="BX19" s="71"/>
      <c r="BY19" s="76"/>
      <c r="BZ19" s="76"/>
      <c r="CA19" s="76"/>
      <c r="CB19" s="76"/>
      <c r="CC19" s="76"/>
      <c r="CD19" s="76"/>
      <c r="CE19" s="76"/>
      <c r="CF19" s="71"/>
      <c r="CG19" s="71"/>
      <c r="CH19" s="71"/>
      <c r="CI19" s="71"/>
      <c r="CJ19" s="71"/>
      <c r="CK19" s="71"/>
      <c r="CL19" s="71"/>
      <c r="CM19" s="71"/>
      <c r="CN19" s="71"/>
      <c r="CO19" s="71"/>
      <c r="CP19" s="70"/>
      <c r="CQ19" s="70"/>
      <c r="CR19" s="70"/>
      <c r="CS19" s="70"/>
      <c r="CT19" s="70"/>
      <c r="CU19" s="70"/>
    </row>
    <row r="20" spans="1:99" s="86" customFormat="1" ht="12.75">
      <c r="A20" s="71"/>
      <c r="B20" s="71"/>
      <c r="C20" s="71"/>
      <c r="D20" s="71"/>
      <c r="E20" s="71"/>
      <c r="F20" s="71"/>
      <c r="G20" s="71"/>
      <c r="H20" s="93"/>
      <c r="I20" s="71"/>
      <c r="J20" s="71"/>
      <c r="K20" s="71"/>
      <c r="L20" s="71"/>
      <c r="M20" s="71"/>
      <c r="N20" s="71"/>
      <c r="O20" s="71"/>
      <c r="P20" s="71"/>
      <c r="Q20" s="71"/>
      <c r="R20" s="71"/>
      <c r="S20" s="71"/>
      <c r="T20" s="71"/>
      <c r="U20" s="71"/>
      <c r="V20" s="71"/>
      <c r="W20" s="76"/>
      <c r="X20" s="71"/>
      <c r="Y20" s="71"/>
      <c r="Z20" s="76"/>
      <c r="AA20" s="71"/>
      <c r="AB20" s="71"/>
      <c r="AC20" s="76"/>
      <c r="AD20" s="71"/>
      <c r="AE20" s="71"/>
      <c r="AF20" s="76"/>
      <c r="AG20" s="71"/>
      <c r="AH20" s="71"/>
      <c r="AI20" s="76"/>
      <c r="AJ20" s="71"/>
      <c r="AK20" s="71"/>
      <c r="AL20" s="76"/>
      <c r="AM20" s="71"/>
      <c r="AN20" s="71"/>
      <c r="AO20" s="76"/>
      <c r="AP20" s="71"/>
      <c r="AQ20" s="71"/>
      <c r="AR20" s="76"/>
      <c r="AS20" s="71"/>
      <c r="AT20" s="71"/>
      <c r="AU20" s="76"/>
      <c r="AV20" s="71"/>
      <c r="AW20" s="71"/>
      <c r="AX20" s="76"/>
      <c r="AY20" s="71"/>
      <c r="AZ20" s="71"/>
      <c r="BA20" s="76"/>
      <c r="BB20" s="71"/>
      <c r="BC20" s="71"/>
      <c r="BD20" s="76"/>
      <c r="BE20" s="71"/>
      <c r="BF20" s="71"/>
      <c r="BG20" s="76"/>
      <c r="BH20" s="71"/>
      <c r="BI20" s="71"/>
      <c r="BJ20" s="76"/>
      <c r="BK20" s="71"/>
      <c r="BL20" s="71"/>
      <c r="BM20" s="76"/>
      <c r="BN20" s="71"/>
      <c r="BO20" s="71"/>
      <c r="BP20" s="76"/>
      <c r="BQ20" s="71"/>
      <c r="BR20" s="71"/>
      <c r="BS20" s="76"/>
      <c r="BT20" s="71"/>
      <c r="BU20" s="71"/>
      <c r="BV20" s="76"/>
      <c r="BW20" s="71"/>
      <c r="BX20" s="71"/>
      <c r="BY20" s="76"/>
      <c r="BZ20" s="76"/>
      <c r="CA20" s="76"/>
      <c r="CB20" s="76"/>
      <c r="CC20" s="76"/>
      <c r="CD20" s="76"/>
      <c r="CE20" s="76"/>
      <c r="CF20" s="71"/>
      <c r="CG20" s="71"/>
      <c r="CH20" s="71"/>
      <c r="CI20" s="71"/>
      <c r="CJ20" s="71"/>
      <c r="CK20" s="71"/>
      <c r="CL20" s="71"/>
      <c r="CM20" s="71"/>
      <c r="CN20" s="71"/>
      <c r="CO20" s="71"/>
      <c r="CP20" s="70"/>
      <c r="CQ20" s="70"/>
      <c r="CR20" s="70"/>
      <c r="CS20" s="70"/>
      <c r="CT20" s="70"/>
      <c r="CU20" s="70"/>
    </row>
    <row r="21" spans="1:99" s="86" customFormat="1" ht="12.75">
      <c r="A21" s="71"/>
      <c r="B21" s="71"/>
      <c r="C21" s="71"/>
      <c r="D21" s="71"/>
      <c r="E21" s="71"/>
      <c r="F21" s="71"/>
      <c r="G21" s="71"/>
      <c r="H21" s="93"/>
      <c r="I21" s="71"/>
      <c r="J21" s="71"/>
      <c r="K21" s="71"/>
      <c r="L21" s="71"/>
      <c r="M21" s="71"/>
      <c r="N21" s="71"/>
      <c r="O21" s="71"/>
      <c r="P21" s="71"/>
      <c r="Q21" s="71"/>
      <c r="R21" s="71"/>
      <c r="S21" s="71"/>
      <c r="T21" s="71"/>
      <c r="U21" s="71"/>
      <c r="V21" s="71"/>
      <c r="W21" s="76"/>
      <c r="X21" s="71"/>
      <c r="Y21" s="71"/>
      <c r="Z21" s="76"/>
      <c r="AA21" s="71"/>
      <c r="AB21" s="71"/>
      <c r="AC21" s="76"/>
      <c r="AD21" s="71"/>
      <c r="AE21" s="71"/>
      <c r="AF21" s="76"/>
      <c r="AG21" s="71"/>
      <c r="AH21" s="71"/>
      <c r="AI21" s="76"/>
      <c r="AJ21" s="71"/>
      <c r="AK21" s="71"/>
      <c r="AL21" s="76"/>
      <c r="AM21" s="71"/>
      <c r="AN21" s="71"/>
      <c r="AO21" s="76"/>
      <c r="AP21" s="71"/>
      <c r="AQ21" s="71"/>
      <c r="AR21" s="76"/>
      <c r="AS21" s="71"/>
      <c r="AT21" s="71"/>
      <c r="AU21" s="76"/>
      <c r="AV21" s="71"/>
      <c r="AW21" s="71"/>
      <c r="AX21" s="76"/>
      <c r="AY21" s="71"/>
      <c r="AZ21" s="71"/>
      <c r="BA21" s="76"/>
      <c r="BB21" s="71"/>
      <c r="BC21" s="71"/>
      <c r="BD21" s="76"/>
      <c r="BE21" s="71"/>
      <c r="BF21" s="71"/>
      <c r="BG21" s="76"/>
      <c r="BH21" s="71"/>
      <c r="BI21" s="71"/>
      <c r="BJ21" s="76"/>
      <c r="BK21" s="71"/>
      <c r="BL21" s="71"/>
      <c r="BM21" s="76"/>
      <c r="BN21" s="71"/>
      <c r="BO21" s="71"/>
      <c r="BP21" s="76"/>
      <c r="BQ21" s="71"/>
      <c r="BR21" s="71"/>
      <c r="BS21" s="76"/>
      <c r="BT21" s="71"/>
      <c r="BU21" s="71"/>
      <c r="BV21" s="76"/>
      <c r="BW21" s="71"/>
      <c r="BX21" s="71"/>
      <c r="BY21" s="76"/>
      <c r="BZ21" s="76"/>
      <c r="CA21" s="76"/>
      <c r="CB21" s="76"/>
      <c r="CC21" s="76"/>
      <c r="CD21" s="76"/>
      <c r="CE21" s="76"/>
      <c r="CF21" s="71"/>
      <c r="CG21" s="71"/>
      <c r="CH21" s="71"/>
      <c r="CI21" s="71"/>
      <c r="CJ21" s="71"/>
      <c r="CK21" s="71"/>
      <c r="CL21" s="71"/>
      <c r="CM21" s="71"/>
      <c r="CN21" s="71"/>
      <c r="CO21" s="71"/>
      <c r="CP21" s="70"/>
      <c r="CQ21" s="70"/>
      <c r="CR21" s="70"/>
      <c r="CS21" s="70"/>
      <c r="CT21" s="70"/>
      <c r="CU21" s="70"/>
    </row>
    <row r="22" spans="1:99" s="86" customFormat="1" ht="12.75">
      <c r="A22" s="71"/>
      <c r="B22" s="71"/>
      <c r="C22" s="71"/>
      <c r="D22" s="71"/>
      <c r="E22" s="71"/>
      <c r="F22" s="71"/>
      <c r="G22" s="71"/>
      <c r="H22" s="93"/>
      <c r="I22" s="71"/>
      <c r="J22" s="71"/>
      <c r="K22" s="71"/>
      <c r="L22" s="71"/>
      <c r="M22" s="71"/>
      <c r="N22" s="71"/>
      <c r="O22" s="71"/>
      <c r="P22" s="71"/>
      <c r="Q22" s="71"/>
      <c r="R22" s="71"/>
      <c r="S22" s="71"/>
      <c r="T22" s="71"/>
      <c r="U22" s="71"/>
      <c r="V22" s="71"/>
      <c r="W22" s="76"/>
      <c r="X22" s="71"/>
      <c r="Y22" s="71"/>
      <c r="Z22" s="76"/>
      <c r="AA22" s="71"/>
      <c r="AB22" s="71"/>
      <c r="AC22" s="76"/>
      <c r="AD22" s="71"/>
      <c r="AE22" s="71"/>
      <c r="AF22" s="76"/>
      <c r="AG22" s="71"/>
      <c r="AH22" s="71"/>
      <c r="AI22" s="76"/>
      <c r="AJ22" s="71"/>
      <c r="AK22" s="71"/>
      <c r="AL22" s="76"/>
      <c r="AM22" s="71"/>
      <c r="AN22" s="71"/>
      <c r="AO22" s="76"/>
      <c r="AP22" s="71"/>
      <c r="AQ22" s="71"/>
      <c r="AR22" s="76"/>
      <c r="AS22" s="71"/>
      <c r="AT22" s="71"/>
      <c r="AU22" s="76"/>
      <c r="AV22" s="71"/>
      <c r="AW22" s="71"/>
      <c r="AX22" s="76"/>
      <c r="AY22" s="71"/>
      <c r="AZ22" s="71"/>
      <c r="BA22" s="76"/>
      <c r="BB22" s="71"/>
      <c r="BC22" s="71"/>
      <c r="BD22" s="76"/>
      <c r="BE22" s="71"/>
      <c r="BF22" s="71"/>
      <c r="BG22" s="76"/>
      <c r="BH22" s="71"/>
      <c r="BI22" s="71"/>
      <c r="BJ22" s="76"/>
      <c r="BK22" s="71"/>
      <c r="BL22" s="71"/>
      <c r="BM22" s="76"/>
      <c r="BN22" s="71"/>
      <c r="BO22" s="71"/>
      <c r="BP22" s="76"/>
      <c r="BQ22" s="71"/>
      <c r="BR22" s="71"/>
      <c r="BS22" s="76"/>
      <c r="BT22" s="71"/>
      <c r="BU22" s="71"/>
      <c r="BV22" s="76"/>
      <c r="BW22" s="71"/>
      <c r="BX22" s="71"/>
      <c r="BY22" s="76"/>
      <c r="BZ22" s="76"/>
      <c r="CA22" s="76"/>
      <c r="CB22" s="76"/>
      <c r="CC22" s="76"/>
      <c r="CD22" s="76"/>
      <c r="CE22" s="76"/>
      <c r="CF22" s="71"/>
      <c r="CG22" s="71"/>
      <c r="CH22" s="71"/>
      <c r="CI22" s="71"/>
      <c r="CJ22" s="71"/>
      <c r="CK22" s="71"/>
      <c r="CL22" s="71"/>
      <c r="CM22" s="71"/>
      <c r="CN22" s="71"/>
      <c r="CO22" s="71"/>
      <c r="CP22" s="70"/>
      <c r="CQ22" s="70"/>
      <c r="CR22" s="70"/>
      <c r="CS22" s="70"/>
      <c r="CT22" s="70"/>
      <c r="CU22" s="70"/>
    </row>
    <row r="23" spans="1:99" s="86" customFormat="1" ht="12.75">
      <c r="A23" s="71"/>
      <c r="B23" s="71"/>
      <c r="C23" s="71"/>
      <c r="D23" s="71"/>
      <c r="E23" s="71"/>
      <c r="F23" s="71"/>
      <c r="G23" s="71"/>
      <c r="H23" s="93"/>
      <c r="I23" s="71"/>
      <c r="J23" s="71"/>
      <c r="K23" s="71"/>
      <c r="L23" s="71"/>
      <c r="M23" s="71"/>
      <c r="N23" s="71"/>
      <c r="O23" s="71"/>
      <c r="P23" s="71"/>
      <c r="Q23" s="71"/>
      <c r="R23" s="71"/>
      <c r="S23" s="71"/>
      <c r="T23" s="71"/>
      <c r="U23" s="71"/>
      <c r="V23" s="71"/>
      <c r="W23" s="76"/>
      <c r="X23" s="71"/>
      <c r="Y23" s="71"/>
      <c r="Z23" s="76"/>
      <c r="AA23" s="71"/>
      <c r="AB23" s="71"/>
      <c r="AC23" s="76"/>
      <c r="AD23" s="71"/>
      <c r="AE23" s="71"/>
      <c r="AF23" s="76"/>
      <c r="AG23" s="71"/>
      <c r="AH23" s="71"/>
      <c r="AI23" s="76"/>
      <c r="AJ23" s="71"/>
      <c r="AK23" s="71"/>
      <c r="AL23" s="76"/>
      <c r="AM23" s="71"/>
      <c r="AN23" s="71"/>
      <c r="AO23" s="76"/>
      <c r="AP23" s="71"/>
      <c r="AQ23" s="71"/>
      <c r="AR23" s="76"/>
      <c r="AS23" s="71"/>
      <c r="AT23" s="71"/>
      <c r="AU23" s="76"/>
      <c r="AV23" s="71"/>
      <c r="AW23" s="71"/>
      <c r="AX23" s="76"/>
      <c r="AY23" s="71"/>
      <c r="AZ23" s="71"/>
      <c r="BA23" s="76"/>
      <c r="BB23" s="71"/>
      <c r="BC23" s="71"/>
      <c r="BD23" s="76"/>
      <c r="BE23" s="71"/>
      <c r="BF23" s="71"/>
      <c r="BG23" s="76"/>
      <c r="BH23" s="71"/>
      <c r="BI23" s="71"/>
      <c r="BJ23" s="76"/>
      <c r="BK23" s="71"/>
      <c r="BL23" s="71"/>
      <c r="BM23" s="76"/>
      <c r="BN23" s="71"/>
      <c r="BO23" s="71"/>
      <c r="BP23" s="76"/>
      <c r="BQ23" s="71"/>
      <c r="BR23" s="71"/>
      <c r="BS23" s="76"/>
      <c r="BT23" s="71"/>
      <c r="BU23" s="71"/>
      <c r="BV23" s="76"/>
      <c r="BW23" s="71"/>
      <c r="BX23" s="71"/>
      <c r="BY23" s="76"/>
      <c r="BZ23" s="76"/>
      <c r="CA23" s="76"/>
      <c r="CB23" s="76"/>
      <c r="CC23" s="76"/>
      <c r="CD23" s="76"/>
      <c r="CE23" s="76"/>
      <c r="CF23" s="71"/>
      <c r="CG23" s="71"/>
      <c r="CH23" s="71"/>
      <c r="CI23" s="71"/>
      <c r="CJ23" s="71"/>
      <c r="CK23" s="71"/>
      <c r="CL23" s="71"/>
      <c r="CM23" s="71"/>
      <c r="CN23" s="71"/>
      <c r="CO23" s="71"/>
      <c r="CP23" s="70"/>
      <c r="CQ23" s="70"/>
      <c r="CR23" s="70"/>
      <c r="CS23" s="70"/>
      <c r="CT23" s="70"/>
      <c r="CU23" s="70"/>
    </row>
    <row r="24" spans="1:99" s="86" customFormat="1" ht="12.75">
      <c r="A24" s="71"/>
      <c r="B24" s="71"/>
      <c r="C24" s="71"/>
      <c r="D24" s="71"/>
      <c r="E24" s="71"/>
      <c r="F24" s="71"/>
      <c r="G24" s="71"/>
      <c r="H24" s="93"/>
      <c r="I24" s="71"/>
      <c r="J24" s="71"/>
      <c r="K24" s="71"/>
      <c r="L24" s="71"/>
      <c r="M24" s="71"/>
      <c r="N24" s="71"/>
      <c r="O24" s="71"/>
      <c r="P24" s="71"/>
      <c r="Q24" s="71"/>
      <c r="R24" s="71"/>
      <c r="S24" s="71"/>
      <c r="T24" s="71"/>
      <c r="U24" s="71"/>
      <c r="V24" s="71"/>
      <c r="W24" s="76"/>
      <c r="X24" s="71"/>
      <c r="Y24" s="71"/>
      <c r="Z24" s="76"/>
      <c r="AA24" s="71"/>
      <c r="AB24" s="71"/>
      <c r="AC24" s="76"/>
      <c r="AD24" s="71"/>
      <c r="AE24" s="71"/>
      <c r="AF24" s="76"/>
      <c r="AG24" s="71"/>
      <c r="AH24" s="71"/>
      <c r="AI24" s="76"/>
      <c r="AJ24" s="71"/>
      <c r="AK24" s="71"/>
      <c r="AL24" s="76"/>
      <c r="AM24" s="71"/>
      <c r="AN24" s="71"/>
      <c r="AO24" s="76"/>
      <c r="AP24" s="71"/>
      <c r="AQ24" s="71"/>
      <c r="AR24" s="76"/>
      <c r="AS24" s="71"/>
      <c r="AT24" s="71"/>
      <c r="AU24" s="76"/>
      <c r="AV24" s="71"/>
      <c r="AW24" s="71"/>
      <c r="AX24" s="76"/>
      <c r="AY24" s="71"/>
      <c r="AZ24" s="71"/>
      <c r="BA24" s="76"/>
      <c r="BB24" s="71"/>
      <c r="BC24" s="71"/>
      <c r="BD24" s="76"/>
      <c r="BE24" s="71"/>
      <c r="BF24" s="71"/>
      <c r="BG24" s="76"/>
      <c r="BH24" s="71"/>
      <c r="BI24" s="71"/>
      <c r="BJ24" s="76"/>
      <c r="BK24" s="71"/>
      <c r="BL24" s="71"/>
      <c r="BM24" s="76"/>
      <c r="BN24" s="71"/>
      <c r="BO24" s="71"/>
      <c r="BP24" s="76"/>
      <c r="BQ24" s="71"/>
      <c r="BR24" s="71"/>
      <c r="BS24" s="76"/>
      <c r="BT24" s="71"/>
      <c r="BU24" s="71"/>
      <c r="BV24" s="76"/>
      <c r="BW24" s="71"/>
      <c r="BX24" s="71"/>
      <c r="BY24" s="76"/>
      <c r="BZ24" s="76"/>
      <c r="CA24" s="76"/>
      <c r="CB24" s="76"/>
      <c r="CC24" s="76"/>
      <c r="CD24" s="76"/>
      <c r="CE24" s="76"/>
      <c r="CF24" s="71"/>
      <c r="CG24" s="71"/>
      <c r="CH24" s="71"/>
      <c r="CI24" s="71"/>
      <c r="CJ24" s="71"/>
      <c r="CK24" s="71"/>
      <c r="CL24" s="71"/>
      <c r="CM24" s="71"/>
      <c r="CN24" s="71"/>
      <c r="CO24" s="71"/>
      <c r="CP24" s="70"/>
      <c r="CQ24" s="70"/>
      <c r="CR24" s="70"/>
      <c r="CS24" s="70"/>
      <c r="CT24" s="70"/>
      <c r="CU24" s="70"/>
    </row>
    <row r="25" spans="1:99" s="86" customFormat="1" ht="12.75">
      <c r="A25" s="71"/>
      <c r="B25" s="71"/>
      <c r="C25" s="71"/>
      <c r="D25" s="71"/>
      <c r="E25" s="71"/>
      <c r="F25" s="71"/>
      <c r="G25" s="71"/>
      <c r="H25" s="93"/>
      <c r="I25" s="71"/>
      <c r="J25" s="71"/>
      <c r="K25" s="71"/>
      <c r="L25" s="71"/>
      <c r="M25" s="71"/>
      <c r="N25" s="71"/>
      <c r="O25" s="71"/>
      <c r="P25" s="71"/>
      <c r="Q25" s="71"/>
      <c r="R25" s="71"/>
      <c r="S25" s="71"/>
      <c r="T25" s="71"/>
      <c r="U25" s="71"/>
      <c r="V25" s="71"/>
      <c r="W25" s="76"/>
      <c r="X25" s="71"/>
      <c r="Y25" s="71"/>
      <c r="Z25" s="76"/>
      <c r="AA25" s="71"/>
      <c r="AB25" s="71"/>
      <c r="AC25" s="76"/>
      <c r="AD25" s="71"/>
      <c r="AE25" s="71"/>
      <c r="AF25" s="76"/>
      <c r="AG25" s="71"/>
      <c r="AH25" s="71"/>
      <c r="AI25" s="76"/>
      <c r="AJ25" s="71"/>
      <c r="AK25" s="71"/>
      <c r="AL25" s="76"/>
      <c r="AM25" s="71"/>
      <c r="AN25" s="71"/>
      <c r="AO25" s="76"/>
      <c r="AP25" s="71"/>
      <c r="AQ25" s="71"/>
      <c r="AR25" s="76"/>
      <c r="AS25" s="71"/>
      <c r="AT25" s="71"/>
      <c r="AU25" s="76"/>
      <c r="AV25" s="71"/>
      <c r="AW25" s="71"/>
      <c r="AX25" s="76"/>
      <c r="AY25" s="71"/>
      <c r="AZ25" s="71"/>
      <c r="BA25" s="76"/>
      <c r="BB25" s="71"/>
      <c r="BC25" s="71"/>
      <c r="BD25" s="76"/>
      <c r="BE25" s="71"/>
      <c r="BF25" s="71"/>
      <c r="BG25" s="76"/>
      <c r="BH25" s="71"/>
      <c r="BI25" s="71"/>
      <c r="BJ25" s="76"/>
      <c r="BK25" s="71"/>
      <c r="BL25" s="71"/>
      <c r="BM25" s="76"/>
      <c r="BN25" s="71"/>
      <c r="BO25" s="71"/>
      <c r="BP25" s="76"/>
      <c r="BQ25" s="71"/>
      <c r="BR25" s="71"/>
      <c r="BS25" s="76"/>
      <c r="BT25" s="71"/>
      <c r="BU25" s="71"/>
      <c r="BV25" s="76"/>
      <c r="BW25" s="71"/>
      <c r="BX25" s="71"/>
      <c r="BY25" s="76"/>
      <c r="BZ25" s="76"/>
      <c r="CA25" s="76"/>
      <c r="CB25" s="76"/>
      <c r="CC25" s="76"/>
      <c r="CD25" s="76"/>
      <c r="CE25" s="76"/>
      <c r="CF25" s="71"/>
      <c r="CG25" s="71"/>
      <c r="CH25" s="71"/>
      <c r="CI25" s="71"/>
      <c r="CJ25" s="71"/>
      <c r="CK25" s="71"/>
      <c r="CL25" s="71"/>
      <c r="CM25" s="71"/>
      <c r="CN25" s="71"/>
      <c r="CO25" s="71"/>
      <c r="CP25" s="70"/>
      <c r="CQ25" s="70"/>
      <c r="CR25" s="70"/>
      <c r="CS25" s="70"/>
      <c r="CT25" s="70"/>
      <c r="CU25" s="70"/>
    </row>
    <row r="26" spans="1:99" s="86" customFormat="1" ht="12.75">
      <c r="A26" s="71"/>
      <c r="B26" s="71"/>
      <c r="C26" s="71"/>
      <c r="D26" s="71"/>
      <c r="E26" s="71"/>
      <c r="F26" s="71"/>
      <c r="G26" s="71"/>
      <c r="H26" s="93"/>
      <c r="I26" s="71"/>
      <c r="J26" s="71"/>
      <c r="K26" s="71"/>
      <c r="L26" s="71"/>
      <c r="M26" s="71"/>
      <c r="N26" s="71"/>
      <c r="O26" s="71"/>
      <c r="P26" s="71"/>
      <c r="Q26" s="71"/>
      <c r="R26" s="71"/>
      <c r="S26" s="71"/>
      <c r="T26" s="71"/>
      <c r="U26" s="71"/>
      <c r="V26" s="71"/>
      <c r="W26" s="76"/>
      <c r="X26" s="71"/>
      <c r="Y26" s="71"/>
      <c r="Z26" s="76"/>
      <c r="AA26" s="71"/>
      <c r="AB26" s="71"/>
      <c r="AC26" s="76"/>
      <c r="AD26" s="71"/>
      <c r="AE26" s="71"/>
      <c r="AF26" s="76"/>
      <c r="AG26" s="71"/>
      <c r="AH26" s="71"/>
      <c r="AI26" s="76"/>
      <c r="AJ26" s="71"/>
      <c r="AK26" s="71"/>
      <c r="AL26" s="76"/>
      <c r="AM26" s="71"/>
      <c r="AN26" s="71"/>
      <c r="AO26" s="76"/>
      <c r="AP26" s="71"/>
      <c r="AQ26" s="71"/>
      <c r="AR26" s="76"/>
      <c r="AS26" s="71"/>
      <c r="AT26" s="71"/>
      <c r="AU26" s="76"/>
      <c r="AV26" s="71"/>
      <c r="AW26" s="71"/>
      <c r="AX26" s="76"/>
      <c r="AY26" s="71"/>
      <c r="AZ26" s="71"/>
      <c r="BA26" s="76"/>
      <c r="BB26" s="71"/>
      <c r="BC26" s="71"/>
      <c r="BD26" s="76"/>
      <c r="BE26" s="71"/>
      <c r="BF26" s="71"/>
      <c r="BG26" s="76"/>
      <c r="BH26" s="71"/>
      <c r="BI26" s="71"/>
      <c r="BJ26" s="76"/>
      <c r="BK26" s="71"/>
      <c r="BL26" s="71"/>
      <c r="BM26" s="76"/>
      <c r="BN26" s="71"/>
      <c r="BO26" s="71"/>
      <c r="BP26" s="76"/>
      <c r="BQ26" s="71"/>
      <c r="BR26" s="71"/>
      <c r="BS26" s="76"/>
      <c r="BT26" s="71"/>
      <c r="BU26" s="71"/>
      <c r="BV26" s="76"/>
      <c r="BW26" s="71"/>
      <c r="BX26" s="71"/>
      <c r="BY26" s="76"/>
      <c r="BZ26" s="76"/>
      <c r="CA26" s="76"/>
      <c r="CB26" s="76"/>
      <c r="CC26" s="76"/>
      <c r="CD26" s="76"/>
      <c r="CE26" s="76"/>
      <c r="CF26" s="71"/>
      <c r="CG26" s="71"/>
      <c r="CH26" s="71"/>
      <c r="CI26" s="71"/>
      <c r="CJ26" s="71"/>
      <c r="CK26" s="71"/>
      <c r="CL26" s="71"/>
      <c r="CM26" s="71"/>
      <c r="CN26" s="71"/>
      <c r="CO26" s="71"/>
      <c r="CP26" s="70"/>
      <c r="CQ26" s="70"/>
      <c r="CR26" s="70"/>
      <c r="CS26" s="70"/>
      <c r="CT26" s="70"/>
      <c r="CU26" s="70"/>
    </row>
    <row r="27" spans="1:99" s="86" customFormat="1" ht="12.75">
      <c r="A27" s="71"/>
      <c r="B27" s="71"/>
      <c r="C27" s="71"/>
      <c r="D27" s="71"/>
      <c r="E27" s="71"/>
      <c r="F27" s="71"/>
      <c r="G27" s="71"/>
      <c r="H27" s="93"/>
      <c r="I27" s="71"/>
      <c r="J27" s="71"/>
      <c r="K27" s="71"/>
      <c r="L27" s="71"/>
      <c r="M27" s="71"/>
      <c r="N27" s="71"/>
      <c r="O27" s="71"/>
      <c r="P27" s="71"/>
      <c r="Q27" s="71"/>
      <c r="R27" s="71"/>
      <c r="S27" s="71"/>
      <c r="T27" s="71"/>
      <c r="U27" s="71"/>
      <c r="V27" s="71"/>
      <c r="W27" s="76"/>
      <c r="X27" s="71"/>
      <c r="Y27" s="71"/>
      <c r="Z27" s="76"/>
      <c r="AA27" s="71"/>
      <c r="AB27" s="71"/>
      <c r="AC27" s="76"/>
      <c r="AD27" s="71"/>
      <c r="AE27" s="71"/>
      <c r="AF27" s="76"/>
      <c r="AG27" s="71"/>
      <c r="AH27" s="71"/>
      <c r="AI27" s="76"/>
      <c r="AJ27" s="71"/>
      <c r="AK27" s="71"/>
      <c r="AL27" s="76"/>
      <c r="AM27" s="71"/>
      <c r="AN27" s="71"/>
      <c r="AO27" s="76"/>
      <c r="AP27" s="71"/>
      <c r="AQ27" s="71"/>
      <c r="AR27" s="76"/>
      <c r="AS27" s="71"/>
      <c r="AT27" s="71"/>
      <c r="AU27" s="76"/>
      <c r="AV27" s="71"/>
      <c r="AW27" s="71"/>
      <c r="AX27" s="76"/>
      <c r="AY27" s="71"/>
      <c r="AZ27" s="71"/>
      <c r="BA27" s="76"/>
      <c r="BB27" s="71"/>
      <c r="BC27" s="71"/>
      <c r="BD27" s="76"/>
      <c r="BE27" s="71"/>
      <c r="BF27" s="71"/>
      <c r="BG27" s="76"/>
      <c r="BH27" s="71"/>
      <c r="BI27" s="71"/>
      <c r="BJ27" s="76"/>
      <c r="BK27" s="71"/>
      <c r="BL27" s="71"/>
      <c r="BM27" s="76"/>
      <c r="BN27" s="71"/>
      <c r="BO27" s="71"/>
      <c r="BP27" s="76"/>
      <c r="BQ27" s="71"/>
      <c r="BR27" s="71"/>
      <c r="BS27" s="76"/>
      <c r="BT27" s="71"/>
      <c r="BU27" s="71"/>
      <c r="BV27" s="76"/>
      <c r="BW27" s="71"/>
      <c r="BX27" s="71"/>
      <c r="BY27" s="76"/>
      <c r="BZ27" s="76"/>
      <c r="CA27" s="76"/>
      <c r="CB27" s="76"/>
      <c r="CC27" s="76"/>
      <c r="CD27" s="76"/>
      <c r="CE27" s="76"/>
      <c r="CF27" s="71"/>
      <c r="CG27" s="71"/>
      <c r="CH27" s="71"/>
      <c r="CI27" s="71"/>
      <c r="CJ27" s="71"/>
      <c r="CK27" s="71"/>
      <c r="CL27" s="71"/>
      <c r="CM27" s="71"/>
      <c r="CN27" s="71"/>
      <c r="CO27" s="71"/>
      <c r="CP27" s="70"/>
      <c r="CQ27" s="70"/>
      <c r="CR27" s="70"/>
      <c r="CS27" s="70"/>
      <c r="CT27" s="70"/>
      <c r="CU27" s="70"/>
    </row>
    <row r="28" spans="1:99" s="86" customFormat="1" ht="12.75">
      <c r="A28" s="71"/>
      <c r="B28" s="71"/>
      <c r="C28" s="71"/>
      <c r="D28" s="71"/>
      <c r="E28" s="71"/>
      <c r="F28" s="71"/>
      <c r="G28" s="71"/>
      <c r="H28" s="93"/>
      <c r="I28" s="71"/>
      <c r="J28" s="71"/>
      <c r="K28" s="71"/>
      <c r="L28" s="71"/>
      <c r="M28" s="71"/>
      <c r="N28" s="71"/>
      <c r="O28" s="71"/>
      <c r="P28" s="71"/>
      <c r="Q28" s="71"/>
      <c r="R28" s="71"/>
      <c r="S28" s="71"/>
      <c r="T28" s="71"/>
      <c r="U28" s="71"/>
      <c r="V28" s="71"/>
      <c r="W28" s="76"/>
      <c r="X28" s="71"/>
      <c r="Y28" s="71"/>
      <c r="Z28" s="76"/>
      <c r="AA28" s="71"/>
      <c r="AB28" s="71"/>
      <c r="AC28" s="76"/>
      <c r="AD28" s="71"/>
      <c r="AE28" s="71"/>
      <c r="AF28" s="76"/>
      <c r="AG28" s="71"/>
      <c r="AH28" s="71"/>
      <c r="AI28" s="76"/>
      <c r="AJ28" s="71"/>
      <c r="AK28" s="71"/>
      <c r="AL28" s="76"/>
      <c r="AM28" s="71"/>
      <c r="AN28" s="71"/>
      <c r="AO28" s="76"/>
      <c r="AP28" s="71"/>
      <c r="AQ28" s="71"/>
      <c r="AR28" s="76"/>
      <c r="AS28" s="71"/>
      <c r="AT28" s="71"/>
      <c r="AU28" s="76"/>
      <c r="AV28" s="71"/>
      <c r="AW28" s="71"/>
      <c r="AX28" s="76"/>
      <c r="AY28" s="71"/>
      <c r="AZ28" s="71"/>
      <c r="BA28" s="76"/>
      <c r="BB28" s="71"/>
      <c r="BC28" s="71"/>
      <c r="BD28" s="76"/>
      <c r="BE28" s="71"/>
      <c r="BF28" s="71"/>
      <c r="BG28" s="76"/>
      <c r="BH28" s="71"/>
      <c r="BI28" s="71"/>
      <c r="BJ28" s="76"/>
      <c r="BK28" s="71"/>
      <c r="BL28" s="71"/>
      <c r="BM28" s="76"/>
      <c r="BN28" s="71"/>
      <c r="BO28" s="71"/>
      <c r="BP28" s="76"/>
      <c r="BQ28" s="71"/>
      <c r="BR28" s="71"/>
      <c r="BS28" s="76"/>
      <c r="BT28" s="71"/>
      <c r="BU28" s="71"/>
      <c r="BV28" s="76"/>
      <c r="BW28" s="71"/>
      <c r="BX28" s="71"/>
      <c r="BY28" s="76"/>
      <c r="BZ28" s="76"/>
      <c r="CA28" s="76"/>
      <c r="CB28" s="76"/>
      <c r="CC28" s="76"/>
      <c r="CD28" s="76"/>
      <c r="CE28" s="76"/>
      <c r="CF28" s="71"/>
      <c r="CG28" s="71"/>
      <c r="CH28" s="71"/>
      <c r="CI28" s="71"/>
      <c r="CJ28" s="71"/>
      <c r="CK28" s="71"/>
      <c r="CL28" s="71"/>
      <c r="CM28" s="71"/>
      <c r="CN28" s="71"/>
      <c r="CO28" s="71"/>
      <c r="CP28" s="70"/>
      <c r="CQ28" s="70"/>
      <c r="CR28" s="70"/>
      <c r="CS28" s="70"/>
      <c r="CT28" s="70"/>
      <c r="CU28" s="70"/>
    </row>
    <row r="29" spans="1:99" s="86" customFormat="1" ht="12.75">
      <c r="A29" s="71"/>
      <c r="B29" s="71"/>
      <c r="C29" s="71"/>
      <c r="D29" s="71"/>
      <c r="E29" s="71"/>
      <c r="F29" s="71"/>
      <c r="G29" s="71"/>
      <c r="H29" s="93"/>
      <c r="I29" s="71"/>
      <c r="J29" s="71"/>
      <c r="K29" s="71"/>
      <c r="L29" s="71"/>
      <c r="M29" s="71"/>
      <c r="N29" s="71"/>
      <c r="O29" s="71"/>
      <c r="P29" s="71"/>
      <c r="Q29" s="71"/>
      <c r="R29" s="71"/>
      <c r="S29" s="71"/>
      <c r="T29" s="71"/>
      <c r="U29" s="71"/>
      <c r="V29" s="71"/>
      <c r="W29" s="76"/>
      <c r="X29" s="71"/>
      <c r="Y29" s="71"/>
      <c r="Z29" s="76"/>
      <c r="AA29" s="71"/>
      <c r="AB29" s="71"/>
      <c r="AC29" s="76"/>
      <c r="AD29" s="71"/>
      <c r="AE29" s="71"/>
      <c r="AF29" s="76"/>
      <c r="AG29" s="71"/>
      <c r="AH29" s="71"/>
      <c r="AI29" s="76"/>
      <c r="AJ29" s="71"/>
      <c r="AK29" s="71"/>
      <c r="AL29" s="76"/>
      <c r="AM29" s="71"/>
      <c r="AN29" s="71"/>
      <c r="AO29" s="76"/>
      <c r="AP29" s="71"/>
      <c r="AQ29" s="71"/>
      <c r="AR29" s="76"/>
      <c r="AS29" s="71"/>
      <c r="AT29" s="71"/>
      <c r="AU29" s="76"/>
      <c r="AV29" s="71"/>
      <c r="AW29" s="71"/>
      <c r="AX29" s="76"/>
      <c r="AY29" s="71"/>
      <c r="AZ29" s="71"/>
      <c r="BA29" s="76"/>
      <c r="BB29" s="71"/>
      <c r="BC29" s="71"/>
      <c r="BD29" s="76"/>
      <c r="BE29" s="71"/>
      <c r="BF29" s="71"/>
      <c r="BG29" s="76"/>
      <c r="BH29" s="71"/>
      <c r="BI29" s="71"/>
      <c r="BJ29" s="76"/>
      <c r="BK29" s="71"/>
      <c r="BL29" s="71"/>
      <c r="BM29" s="76"/>
      <c r="BN29" s="71"/>
      <c r="BO29" s="71"/>
      <c r="BP29" s="76"/>
      <c r="BQ29" s="71"/>
      <c r="BR29" s="71"/>
      <c r="BS29" s="76"/>
      <c r="BT29" s="71"/>
      <c r="BU29" s="71"/>
      <c r="BV29" s="76"/>
      <c r="BW29" s="71"/>
      <c r="BX29" s="71"/>
      <c r="BY29" s="76"/>
      <c r="BZ29" s="76"/>
      <c r="CA29" s="76"/>
      <c r="CB29" s="76"/>
      <c r="CC29" s="76"/>
      <c r="CD29" s="76"/>
      <c r="CE29" s="76"/>
      <c r="CF29" s="71"/>
      <c r="CG29" s="71"/>
      <c r="CH29" s="71"/>
      <c r="CI29" s="71"/>
      <c r="CJ29" s="71"/>
      <c r="CK29" s="71"/>
      <c r="CL29" s="71"/>
      <c r="CM29" s="71"/>
      <c r="CN29" s="71"/>
      <c r="CO29" s="71"/>
      <c r="CP29" s="70"/>
      <c r="CQ29" s="70"/>
      <c r="CR29" s="70"/>
      <c r="CS29" s="70"/>
      <c r="CT29" s="70"/>
      <c r="CU29" s="70"/>
    </row>
    <row r="30" spans="1:99" s="86" customFormat="1" ht="12.75">
      <c r="A30" s="71"/>
      <c r="B30" s="71"/>
      <c r="C30" s="71"/>
      <c r="D30" s="71"/>
      <c r="E30" s="71"/>
      <c r="F30" s="71"/>
      <c r="G30" s="71"/>
      <c r="H30" s="93"/>
      <c r="I30" s="71"/>
      <c r="J30" s="145"/>
      <c r="K30" s="71"/>
      <c r="L30" s="71"/>
      <c r="M30" s="71"/>
      <c r="N30" s="71"/>
      <c r="O30" s="71"/>
      <c r="P30" s="71"/>
      <c r="Q30" s="71"/>
      <c r="R30" s="71"/>
      <c r="S30" s="71"/>
      <c r="T30" s="71"/>
      <c r="U30" s="71"/>
      <c r="V30" s="71"/>
      <c r="W30" s="76"/>
      <c r="X30" s="71"/>
      <c r="Y30" s="71"/>
      <c r="Z30" s="76"/>
      <c r="AA30" s="71"/>
      <c r="AB30" s="71"/>
      <c r="AC30" s="76"/>
      <c r="AD30" s="71"/>
      <c r="AE30" s="71"/>
      <c r="AF30" s="76"/>
      <c r="AG30" s="71"/>
      <c r="AH30" s="71"/>
      <c r="AI30" s="76"/>
      <c r="AJ30" s="71"/>
      <c r="AK30" s="71"/>
      <c r="AL30" s="76"/>
      <c r="AM30" s="71"/>
      <c r="AN30" s="71"/>
      <c r="AO30" s="76"/>
      <c r="AP30" s="71"/>
      <c r="AQ30" s="71"/>
      <c r="AR30" s="76"/>
      <c r="AS30" s="71"/>
      <c r="AT30" s="71"/>
      <c r="AU30" s="76"/>
      <c r="AV30" s="71"/>
      <c r="AW30" s="71"/>
      <c r="AX30" s="76"/>
      <c r="AY30" s="71"/>
      <c r="AZ30" s="71"/>
      <c r="BA30" s="76"/>
      <c r="BB30" s="71"/>
      <c r="BC30" s="71"/>
      <c r="BD30" s="76"/>
      <c r="BE30" s="71"/>
      <c r="BF30" s="71"/>
      <c r="BG30" s="76"/>
      <c r="BH30" s="71"/>
      <c r="BI30" s="71"/>
      <c r="BJ30" s="76"/>
      <c r="BK30" s="71"/>
      <c r="BL30" s="71"/>
      <c r="BM30" s="76"/>
      <c r="BN30" s="71"/>
      <c r="BO30" s="71"/>
      <c r="BP30" s="76"/>
      <c r="BQ30" s="71"/>
      <c r="BR30" s="71"/>
      <c r="BS30" s="76"/>
      <c r="BT30" s="71"/>
      <c r="BU30" s="71"/>
      <c r="BV30" s="76"/>
      <c r="BW30" s="71"/>
      <c r="BX30" s="71"/>
      <c r="BY30" s="76"/>
      <c r="BZ30" s="76"/>
      <c r="CA30" s="76"/>
      <c r="CB30" s="76"/>
      <c r="CC30" s="76"/>
      <c r="CD30" s="76"/>
      <c r="CE30" s="76"/>
      <c r="CF30" s="71"/>
      <c r="CG30" s="71"/>
      <c r="CH30" s="71"/>
      <c r="CI30" s="71"/>
      <c r="CJ30" s="71"/>
      <c r="CK30" s="71"/>
      <c r="CL30" s="71"/>
      <c r="CM30" s="71"/>
      <c r="CN30" s="71"/>
      <c r="CO30" s="71"/>
      <c r="CP30" s="70"/>
      <c r="CQ30" s="70"/>
      <c r="CR30" s="70"/>
      <c r="CS30" s="70"/>
      <c r="CT30" s="70"/>
      <c r="CU30" s="70"/>
    </row>
    <row r="31" spans="1:99" s="86" customFormat="1" ht="12.75">
      <c r="A31" s="71"/>
      <c r="B31" s="71"/>
      <c r="C31" s="71"/>
      <c r="D31" s="71"/>
      <c r="E31" s="71"/>
      <c r="F31" s="71"/>
      <c r="G31" s="71"/>
      <c r="H31" s="93"/>
      <c r="I31" s="71"/>
      <c r="J31" s="71"/>
      <c r="K31" s="71"/>
      <c r="L31" s="71"/>
      <c r="M31" s="71"/>
      <c r="N31" s="71"/>
      <c r="O31" s="71"/>
      <c r="P31" s="71"/>
      <c r="Q31" s="71"/>
      <c r="R31" s="71"/>
      <c r="S31" s="71"/>
      <c r="T31" s="71"/>
      <c r="U31" s="71"/>
      <c r="V31" s="71"/>
      <c r="W31" s="76"/>
      <c r="X31" s="71"/>
      <c r="Y31" s="71"/>
      <c r="Z31" s="76"/>
      <c r="AA31" s="71"/>
      <c r="AB31" s="71"/>
      <c r="AC31" s="76"/>
      <c r="AD31" s="71"/>
      <c r="AE31" s="71"/>
      <c r="AF31" s="76"/>
      <c r="AG31" s="71"/>
      <c r="AH31" s="71"/>
      <c r="AI31" s="76"/>
      <c r="AJ31" s="71"/>
      <c r="AK31" s="71"/>
      <c r="AL31" s="76"/>
      <c r="AM31" s="71"/>
      <c r="AN31" s="71"/>
      <c r="AO31" s="76"/>
      <c r="AP31" s="71"/>
      <c r="AQ31" s="71"/>
      <c r="AR31" s="76"/>
      <c r="AS31" s="71"/>
      <c r="AT31" s="71"/>
      <c r="AU31" s="76"/>
      <c r="AV31" s="71"/>
      <c r="AW31" s="71"/>
      <c r="AX31" s="76"/>
      <c r="AY31" s="71"/>
      <c r="AZ31" s="71"/>
      <c r="BA31" s="76"/>
      <c r="BB31" s="71"/>
      <c r="BC31" s="71"/>
      <c r="BD31" s="76"/>
      <c r="BE31" s="71"/>
      <c r="BF31" s="71"/>
      <c r="BG31" s="76"/>
      <c r="BH31" s="71"/>
      <c r="BI31" s="71"/>
      <c r="BJ31" s="76"/>
      <c r="BK31" s="71"/>
      <c r="BL31" s="71"/>
      <c r="BM31" s="76"/>
      <c r="BN31" s="71"/>
      <c r="BO31" s="71"/>
      <c r="BP31" s="76"/>
      <c r="BQ31" s="71"/>
      <c r="BR31" s="71"/>
      <c r="BS31" s="76"/>
      <c r="BT31" s="71"/>
      <c r="BU31" s="71"/>
      <c r="BV31" s="76"/>
      <c r="BW31" s="71"/>
      <c r="BX31" s="71"/>
      <c r="BY31" s="76"/>
      <c r="BZ31" s="76"/>
      <c r="CA31" s="76"/>
      <c r="CB31" s="76"/>
      <c r="CC31" s="76"/>
      <c r="CD31" s="76"/>
      <c r="CE31" s="76"/>
      <c r="CF31" s="71"/>
      <c r="CG31" s="71"/>
      <c r="CH31" s="71"/>
      <c r="CI31" s="71"/>
      <c r="CJ31" s="71"/>
      <c r="CK31" s="71"/>
      <c r="CL31" s="71"/>
      <c r="CM31" s="71"/>
      <c r="CN31" s="71"/>
      <c r="CO31" s="71"/>
      <c r="CP31" s="70"/>
      <c r="CQ31" s="70"/>
      <c r="CR31" s="70"/>
      <c r="CS31" s="70"/>
      <c r="CT31" s="70"/>
      <c r="CU31" s="70"/>
    </row>
    <row r="32" spans="1:99" s="86" customFormat="1" ht="12.75">
      <c r="A32" s="71"/>
      <c r="B32" s="71"/>
      <c r="C32" s="71"/>
      <c r="D32" s="71"/>
      <c r="E32" s="71"/>
      <c r="F32" s="71"/>
      <c r="G32" s="71"/>
      <c r="H32" s="93"/>
      <c r="I32" s="71"/>
      <c r="J32" s="71"/>
      <c r="K32" s="71"/>
      <c r="L32" s="71"/>
      <c r="M32" s="71"/>
      <c r="N32" s="71"/>
      <c r="O32" s="71"/>
      <c r="P32" s="71"/>
      <c r="Q32" s="71"/>
      <c r="R32" s="71"/>
      <c r="S32" s="71"/>
      <c r="T32" s="71"/>
      <c r="U32" s="71"/>
      <c r="V32" s="71"/>
      <c r="W32" s="76"/>
      <c r="X32" s="71"/>
      <c r="Y32" s="71"/>
      <c r="Z32" s="76"/>
      <c r="AA32" s="71"/>
      <c r="AB32" s="71"/>
      <c r="AC32" s="76"/>
      <c r="AD32" s="71"/>
      <c r="AE32" s="71"/>
      <c r="AF32" s="76"/>
      <c r="AG32" s="71"/>
      <c r="AH32" s="71"/>
      <c r="AI32" s="76"/>
      <c r="AJ32" s="71"/>
      <c r="AK32" s="71"/>
      <c r="AL32" s="76"/>
      <c r="AM32" s="71"/>
      <c r="AN32" s="71"/>
      <c r="AO32" s="76"/>
      <c r="AP32" s="71"/>
      <c r="AQ32" s="71"/>
      <c r="AR32" s="76"/>
      <c r="AS32" s="71"/>
      <c r="AT32" s="71"/>
      <c r="AU32" s="76"/>
      <c r="AV32" s="71"/>
      <c r="AW32" s="71"/>
      <c r="AX32" s="76"/>
      <c r="AY32" s="71"/>
      <c r="AZ32" s="71"/>
      <c r="BA32" s="76"/>
      <c r="BB32" s="71"/>
      <c r="BC32" s="71"/>
      <c r="BD32" s="76"/>
      <c r="BE32" s="71"/>
      <c r="BF32" s="71"/>
      <c r="BG32" s="76"/>
      <c r="BH32" s="71"/>
      <c r="BI32" s="71"/>
      <c r="BJ32" s="76"/>
      <c r="BK32" s="71"/>
      <c r="BL32" s="71"/>
      <c r="BM32" s="76"/>
      <c r="BN32" s="71"/>
      <c r="BO32" s="71"/>
      <c r="BP32" s="76"/>
      <c r="BQ32" s="71"/>
      <c r="BR32" s="71"/>
      <c r="BS32" s="76"/>
      <c r="BT32" s="71"/>
      <c r="BU32" s="71"/>
      <c r="BV32" s="76"/>
      <c r="BW32" s="71"/>
      <c r="BX32" s="71"/>
      <c r="BY32" s="76"/>
      <c r="BZ32" s="76"/>
      <c r="CA32" s="76"/>
      <c r="CB32" s="76"/>
      <c r="CC32" s="76"/>
      <c r="CD32" s="76"/>
      <c r="CE32" s="76"/>
      <c r="CF32" s="71"/>
      <c r="CG32" s="71"/>
      <c r="CH32" s="71"/>
      <c r="CI32" s="71"/>
      <c r="CJ32" s="71"/>
      <c r="CK32" s="71"/>
      <c r="CL32" s="71"/>
      <c r="CM32" s="71"/>
      <c r="CN32" s="71"/>
      <c r="CO32" s="71"/>
      <c r="CP32" s="70"/>
      <c r="CQ32" s="70"/>
      <c r="CR32" s="70"/>
      <c r="CS32" s="70"/>
      <c r="CT32" s="70"/>
      <c r="CU32" s="70"/>
    </row>
    <row r="33" spans="1:99" s="86" customFormat="1" ht="12.75">
      <c r="A33" s="71"/>
      <c r="B33" s="71"/>
      <c r="C33" s="71"/>
      <c r="D33" s="71"/>
      <c r="E33" s="71"/>
      <c r="F33" s="71"/>
      <c r="G33" s="71"/>
      <c r="H33" s="93"/>
      <c r="I33" s="71"/>
      <c r="J33" s="71"/>
      <c r="K33" s="71"/>
      <c r="L33" s="71"/>
      <c r="M33" s="71"/>
      <c r="N33" s="71"/>
      <c r="O33" s="71"/>
      <c r="P33" s="71"/>
      <c r="Q33" s="71"/>
      <c r="R33" s="71"/>
      <c r="S33" s="71"/>
      <c r="T33" s="71"/>
      <c r="U33" s="71"/>
      <c r="V33" s="71"/>
      <c r="W33" s="76"/>
      <c r="X33" s="71"/>
      <c r="Y33" s="71"/>
      <c r="Z33" s="76"/>
      <c r="AA33" s="71"/>
      <c r="AB33" s="71"/>
      <c r="AC33" s="76"/>
      <c r="AD33" s="71"/>
      <c r="AE33" s="71"/>
      <c r="AF33" s="76"/>
      <c r="AG33" s="71"/>
      <c r="AH33" s="71"/>
      <c r="AI33" s="76"/>
      <c r="AJ33" s="71"/>
      <c r="AK33" s="71"/>
      <c r="AL33" s="76"/>
      <c r="AM33" s="71"/>
      <c r="AN33" s="71"/>
      <c r="AO33" s="76"/>
      <c r="AP33" s="71"/>
      <c r="AQ33" s="71"/>
      <c r="AR33" s="76"/>
      <c r="AS33" s="71"/>
      <c r="AT33" s="71"/>
      <c r="AU33" s="76"/>
      <c r="AV33" s="71"/>
      <c r="AW33" s="71"/>
      <c r="AX33" s="76"/>
      <c r="AY33" s="71"/>
      <c r="AZ33" s="71"/>
      <c r="BA33" s="76"/>
      <c r="BB33" s="71"/>
      <c r="BC33" s="71"/>
      <c r="BD33" s="76"/>
      <c r="BE33" s="71"/>
      <c r="BF33" s="71"/>
      <c r="BG33" s="76"/>
      <c r="BH33" s="71"/>
      <c r="BI33" s="71"/>
      <c r="BJ33" s="76"/>
      <c r="BK33" s="71"/>
      <c r="BL33" s="71"/>
      <c r="BM33" s="76"/>
      <c r="BN33" s="71"/>
      <c r="BO33" s="71"/>
      <c r="BP33" s="76"/>
      <c r="BQ33" s="71"/>
      <c r="BR33" s="71"/>
      <c r="BS33" s="76"/>
      <c r="BT33" s="71"/>
      <c r="BU33" s="71"/>
      <c r="BV33" s="76"/>
      <c r="BW33" s="71"/>
      <c r="BX33" s="71"/>
      <c r="BY33" s="76"/>
      <c r="BZ33" s="76"/>
      <c r="CA33" s="76"/>
      <c r="CB33" s="76"/>
      <c r="CC33" s="76"/>
      <c r="CD33" s="76"/>
      <c r="CE33" s="76"/>
      <c r="CF33" s="71"/>
      <c r="CG33" s="71"/>
      <c r="CH33" s="71"/>
      <c r="CI33" s="71"/>
      <c r="CJ33" s="71"/>
      <c r="CK33" s="71"/>
      <c r="CL33" s="71"/>
      <c r="CM33" s="71"/>
      <c r="CN33" s="71"/>
      <c r="CO33" s="71"/>
      <c r="CP33" s="70"/>
      <c r="CQ33" s="70"/>
      <c r="CR33" s="70"/>
      <c r="CS33" s="70"/>
      <c r="CT33" s="70"/>
      <c r="CU33" s="70"/>
    </row>
    <row r="34" spans="1:99" s="86" customFormat="1" ht="12.75">
      <c r="A34" s="71"/>
      <c r="B34" s="71"/>
      <c r="C34" s="71"/>
      <c r="D34" s="71"/>
      <c r="E34" s="71"/>
      <c r="F34" s="71"/>
      <c r="G34" s="71"/>
      <c r="H34" s="93"/>
      <c r="I34" s="71"/>
      <c r="J34" s="71"/>
      <c r="K34" s="71"/>
      <c r="L34" s="71"/>
      <c r="M34" s="71"/>
      <c r="N34" s="71"/>
      <c r="O34" s="71"/>
      <c r="P34" s="71"/>
      <c r="Q34" s="71"/>
      <c r="R34" s="71"/>
      <c r="S34" s="71"/>
      <c r="T34" s="71"/>
      <c r="U34" s="71"/>
      <c r="V34" s="71"/>
      <c r="W34" s="76"/>
      <c r="X34" s="71"/>
      <c r="Y34" s="71"/>
      <c r="Z34" s="76"/>
      <c r="AA34" s="71"/>
      <c r="AB34" s="71"/>
      <c r="AC34" s="76"/>
      <c r="AD34" s="71"/>
      <c r="AE34" s="71"/>
      <c r="AF34" s="76"/>
      <c r="AG34" s="71"/>
      <c r="AH34" s="71"/>
      <c r="AI34" s="76"/>
      <c r="AJ34" s="71"/>
      <c r="AK34" s="71"/>
      <c r="AL34" s="76"/>
      <c r="AM34" s="71"/>
      <c r="AN34" s="71"/>
      <c r="AO34" s="76"/>
      <c r="AP34" s="71"/>
      <c r="AQ34" s="71"/>
      <c r="AR34" s="76"/>
      <c r="AS34" s="71"/>
      <c r="AT34" s="71"/>
      <c r="AU34" s="76"/>
      <c r="AV34" s="71"/>
      <c r="AW34" s="71"/>
      <c r="AX34" s="76"/>
      <c r="AY34" s="71"/>
      <c r="AZ34" s="71"/>
      <c r="BA34" s="76"/>
      <c r="BB34" s="71"/>
      <c r="BC34" s="71"/>
      <c r="BD34" s="76"/>
      <c r="BE34" s="71"/>
      <c r="BF34" s="71"/>
      <c r="BG34" s="76"/>
      <c r="BH34" s="71"/>
      <c r="BI34" s="71"/>
      <c r="BJ34" s="76"/>
      <c r="BK34" s="71"/>
      <c r="BL34" s="71"/>
      <c r="BM34" s="76"/>
      <c r="BN34" s="71"/>
      <c r="BO34" s="71"/>
      <c r="BP34" s="76"/>
      <c r="BQ34" s="71"/>
      <c r="BR34" s="71"/>
      <c r="BS34" s="76"/>
      <c r="BT34" s="71"/>
      <c r="BU34" s="71"/>
      <c r="BV34" s="76"/>
      <c r="BW34" s="71"/>
      <c r="BX34" s="71"/>
      <c r="BY34" s="76"/>
      <c r="BZ34" s="76"/>
      <c r="CA34" s="76"/>
      <c r="CB34" s="76"/>
      <c r="CC34" s="76"/>
      <c r="CD34" s="76"/>
      <c r="CE34" s="76"/>
      <c r="CF34" s="71"/>
      <c r="CG34" s="71"/>
      <c r="CH34" s="71"/>
      <c r="CI34" s="71"/>
      <c r="CJ34" s="71"/>
      <c r="CK34" s="71"/>
      <c r="CL34" s="71"/>
      <c r="CM34" s="71"/>
      <c r="CN34" s="71"/>
      <c r="CO34" s="71"/>
      <c r="CP34" s="70"/>
      <c r="CQ34" s="70"/>
      <c r="CR34" s="70"/>
      <c r="CS34" s="70"/>
      <c r="CT34" s="70"/>
      <c r="CU34" s="70"/>
    </row>
    <row r="35" spans="1:99" s="86" customFormat="1" ht="12.75">
      <c r="A35" s="71"/>
      <c r="B35" s="71"/>
      <c r="C35" s="71"/>
      <c r="D35" s="71"/>
      <c r="E35" s="71"/>
      <c r="F35" s="71"/>
      <c r="G35" s="71"/>
      <c r="H35" s="93"/>
      <c r="I35" s="71"/>
      <c r="J35" s="71"/>
      <c r="K35" s="71"/>
      <c r="L35" s="71"/>
      <c r="M35" s="71"/>
      <c r="N35" s="71"/>
      <c r="O35" s="71"/>
      <c r="P35" s="71"/>
      <c r="Q35" s="71"/>
      <c r="R35" s="71"/>
      <c r="S35" s="71"/>
      <c r="T35" s="71"/>
      <c r="U35" s="71"/>
      <c r="V35" s="71"/>
      <c r="W35" s="76"/>
      <c r="X35" s="71"/>
      <c r="Y35" s="71"/>
      <c r="Z35" s="76"/>
      <c r="AA35" s="71"/>
      <c r="AB35" s="71"/>
      <c r="AC35" s="76"/>
      <c r="AD35" s="71"/>
      <c r="AE35" s="71"/>
      <c r="AF35" s="76"/>
      <c r="AG35" s="71"/>
      <c r="AH35" s="71"/>
      <c r="AI35" s="76"/>
      <c r="AJ35" s="71"/>
      <c r="AK35" s="71"/>
      <c r="AL35" s="76"/>
      <c r="AM35" s="71"/>
      <c r="AN35" s="71"/>
      <c r="AO35" s="76"/>
      <c r="AP35" s="71"/>
      <c r="AQ35" s="71"/>
      <c r="AR35" s="76"/>
      <c r="AS35" s="71"/>
      <c r="AT35" s="71"/>
      <c r="AU35" s="76"/>
      <c r="AV35" s="71"/>
      <c r="AW35" s="71"/>
      <c r="AX35" s="76"/>
      <c r="AY35" s="71"/>
      <c r="AZ35" s="71"/>
      <c r="BA35" s="76"/>
      <c r="BB35" s="71"/>
      <c r="BC35" s="71"/>
      <c r="BD35" s="76"/>
      <c r="BE35" s="71"/>
      <c r="BF35" s="71"/>
      <c r="BG35" s="76"/>
      <c r="BH35" s="71"/>
      <c r="BI35" s="71"/>
      <c r="BJ35" s="76"/>
      <c r="BK35" s="71"/>
      <c r="BL35" s="71"/>
      <c r="BM35" s="76"/>
      <c r="BN35" s="71"/>
      <c r="BO35" s="71"/>
      <c r="BP35" s="76"/>
      <c r="BQ35" s="71"/>
      <c r="BR35" s="71"/>
      <c r="BS35" s="76"/>
      <c r="BT35" s="71"/>
      <c r="BU35" s="71"/>
      <c r="BV35" s="76"/>
      <c r="BW35" s="71"/>
      <c r="BX35" s="71"/>
      <c r="BY35" s="76"/>
      <c r="BZ35" s="76"/>
      <c r="CA35" s="76"/>
      <c r="CB35" s="76"/>
      <c r="CC35" s="76"/>
      <c r="CD35" s="76"/>
      <c r="CE35" s="76"/>
      <c r="CF35" s="71"/>
      <c r="CG35" s="71"/>
      <c r="CH35" s="71"/>
      <c r="CI35" s="71"/>
      <c r="CJ35" s="71"/>
      <c r="CK35" s="71"/>
      <c r="CL35" s="71"/>
      <c r="CM35" s="71"/>
      <c r="CN35" s="71"/>
      <c r="CO35" s="71"/>
      <c r="CP35" s="70"/>
      <c r="CQ35" s="70"/>
      <c r="CR35" s="70"/>
      <c r="CS35" s="70"/>
      <c r="CT35" s="70"/>
      <c r="CU35" s="70"/>
    </row>
    <row r="36" spans="1:99" s="86" customFormat="1" ht="12.75">
      <c r="A36" s="71"/>
      <c r="B36" s="71"/>
      <c r="C36" s="71"/>
      <c r="D36" s="71"/>
      <c r="E36" s="71"/>
      <c r="F36" s="71"/>
      <c r="G36" s="71"/>
      <c r="H36" s="93"/>
      <c r="I36" s="71"/>
      <c r="J36" s="71"/>
      <c r="K36" s="71"/>
      <c r="L36" s="71"/>
      <c r="M36" s="71"/>
      <c r="N36" s="71"/>
      <c r="O36" s="71"/>
      <c r="P36" s="71"/>
      <c r="Q36" s="71"/>
      <c r="R36" s="71"/>
      <c r="S36" s="71"/>
      <c r="T36" s="71"/>
      <c r="U36" s="71"/>
      <c r="V36" s="71"/>
      <c r="W36" s="76"/>
      <c r="X36" s="71"/>
      <c r="Y36" s="71"/>
      <c r="Z36" s="76"/>
      <c r="AA36" s="71"/>
      <c r="AB36" s="71"/>
      <c r="AC36" s="76"/>
      <c r="AD36" s="71"/>
      <c r="AE36" s="71"/>
      <c r="AF36" s="76"/>
      <c r="AG36" s="71"/>
      <c r="AH36" s="71"/>
      <c r="AI36" s="76"/>
      <c r="AJ36" s="71"/>
      <c r="AK36" s="71"/>
      <c r="AL36" s="76"/>
      <c r="AM36" s="71"/>
      <c r="AN36" s="71"/>
      <c r="AO36" s="76"/>
      <c r="AP36" s="71"/>
      <c r="AQ36" s="71"/>
      <c r="AR36" s="76"/>
      <c r="AS36" s="71"/>
      <c r="AT36" s="71"/>
      <c r="AU36" s="76"/>
      <c r="AV36" s="71"/>
      <c r="AW36" s="71"/>
      <c r="AX36" s="76"/>
      <c r="AY36" s="71"/>
      <c r="AZ36" s="71"/>
      <c r="BA36" s="76"/>
      <c r="BB36" s="71"/>
      <c r="BC36" s="71"/>
      <c r="BD36" s="76"/>
      <c r="BE36" s="71"/>
      <c r="BF36" s="71"/>
      <c r="BG36" s="76"/>
      <c r="BH36" s="71"/>
      <c r="BI36" s="71"/>
      <c r="BJ36" s="76"/>
      <c r="BK36" s="71"/>
      <c r="BL36" s="71"/>
      <c r="BM36" s="76"/>
      <c r="BN36" s="71"/>
      <c r="BO36" s="71"/>
      <c r="BP36" s="76"/>
      <c r="BQ36" s="71"/>
      <c r="BR36" s="71"/>
      <c r="BS36" s="76"/>
      <c r="BT36" s="71"/>
      <c r="BU36" s="71"/>
      <c r="BV36" s="76"/>
      <c r="BW36" s="71"/>
      <c r="BX36" s="71"/>
      <c r="BY36" s="76"/>
      <c r="BZ36" s="76"/>
      <c r="CA36" s="76"/>
      <c r="CB36" s="76"/>
      <c r="CC36" s="76"/>
      <c r="CD36" s="76"/>
      <c r="CE36" s="76"/>
      <c r="CF36" s="71"/>
      <c r="CG36" s="71"/>
      <c r="CH36" s="71"/>
      <c r="CI36" s="71"/>
      <c r="CJ36" s="71"/>
      <c r="CK36" s="71"/>
      <c r="CL36" s="71"/>
      <c r="CM36" s="71"/>
      <c r="CN36" s="71"/>
      <c r="CO36" s="71"/>
      <c r="CP36" s="70"/>
      <c r="CQ36" s="70"/>
      <c r="CR36" s="70"/>
      <c r="CS36" s="70"/>
      <c r="CT36" s="70"/>
      <c r="CU36" s="70"/>
    </row>
    <row r="37" spans="1:99" s="86" customFormat="1" ht="12.75">
      <c r="A37" s="71"/>
      <c r="B37" s="71"/>
      <c r="C37" s="71"/>
      <c r="D37" s="71"/>
      <c r="E37" s="71"/>
      <c r="F37" s="71"/>
      <c r="G37" s="71"/>
      <c r="H37" s="93"/>
      <c r="I37" s="71"/>
      <c r="J37" s="145"/>
      <c r="K37" s="71"/>
      <c r="L37" s="71"/>
      <c r="M37" s="71"/>
      <c r="N37" s="71"/>
      <c r="O37" s="71"/>
      <c r="P37" s="71"/>
      <c r="Q37" s="71"/>
      <c r="R37" s="71"/>
      <c r="S37" s="71"/>
      <c r="T37" s="71"/>
      <c r="U37" s="71"/>
      <c r="V37" s="71"/>
      <c r="W37" s="76"/>
      <c r="X37" s="71"/>
      <c r="Y37" s="71"/>
      <c r="Z37" s="76"/>
      <c r="AA37" s="71"/>
      <c r="AB37" s="71"/>
      <c r="AC37" s="76"/>
      <c r="AD37" s="71"/>
      <c r="AE37" s="71"/>
      <c r="AF37" s="76"/>
      <c r="AG37" s="71"/>
      <c r="AH37" s="71"/>
      <c r="AI37" s="76"/>
      <c r="AJ37" s="71"/>
      <c r="AK37" s="71"/>
      <c r="AL37" s="76"/>
      <c r="AM37" s="71"/>
      <c r="AN37" s="71"/>
      <c r="AO37" s="76"/>
      <c r="AP37" s="71"/>
      <c r="AQ37" s="71"/>
      <c r="AR37" s="76"/>
      <c r="AS37" s="71"/>
      <c r="AT37" s="71"/>
      <c r="AU37" s="76"/>
      <c r="AV37" s="71"/>
      <c r="AW37" s="71"/>
      <c r="AX37" s="76"/>
      <c r="AY37" s="71"/>
      <c r="AZ37" s="71"/>
      <c r="BA37" s="76"/>
      <c r="BB37" s="71"/>
      <c r="BC37" s="71"/>
      <c r="BD37" s="76"/>
      <c r="BE37" s="71"/>
      <c r="BF37" s="71"/>
      <c r="BG37" s="76"/>
      <c r="BH37" s="71"/>
      <c r="BI37" s="71"/>
      <c r="BJ37" s="76"/>
      <c r="BK37" s="71"/>
      <c r="BL37" s="71"/>
      <c r="BM37" s="76"/>
      <c r="BN37" s="71"/>
      <c r="BO37" s="71"/>
      <c r="BP37" s="76"/>
      <c r="BQ37" s="71"/>
      <c r="BR37" s="71"/>
      <c r="BS37" s="76"/>
      <c r="BT37" s="71"/>
      <c r="BU37" s="71"/>
      <c r="BV37" s="76"/>
      <c r="BW37" s="71"/>
      <c r="BX37" s="71"/>
      <c r="BY37" s="76"/>
      <c r="BZ37" s="76"/>
      <c r="CA37" s="76"/>
      <c r="CB37" s="76"/>
      <c r="CC37" s="76"/>
      <c r="CD37" s="76"/>
      <c r="CE37" s="76"/>
      <c r="CF37" s="71"/>
      <c r="CG37" s="71"/>
      <c r="CH37" s="71"/>
      <c r="CI37" s="71"/>
      <c r="CJ37" s="71"/>
      <c r="CK37" s="71"/>
      <c r="CL37" s="71"/>
      <c r="CM37" s="71"/>
      <c r="CN37" s="71"/>
      <c r="CO37" s="71"/>
      <c r="CP37" s="70"/>
      <c r="CQ37" s="70"/>
      <c r="CR37" s="70"/>
      <c r="CS37" s="70"/>
      <c r="CT37" s="70"/>
      <c r="CU37" s="70"/>
    </row>
    <row r="38" spans="1:99" s="86" customFormat="1" ht="12.75">
      <c r="A38" s="71"/>
      <c r="B38" s="71"/>
      <c r="C38" s="71"/>
      <c r="D38" s="71"/>
      <c r="E38" s="71"/>
      <c r="F38" s="71"/>
      <c r="G38" s="71"/>
      <c r="H38" s="93"/>
      <c r="I38" s="71"/>
      <c r="J38" s="71"/>
      <c r="K38" s="71"/>
      <c r="L38" s="71"/>
      <c r="M38" s="71"/>
      <c r="N38" s="71"/>
      <c r="O38" s="71"/>
      <c r="P38" s="71"/>
      <c r="Q38" s="71"/>
      <c r="R38" s="71"/>
      <c r="S38" s="71"/>
      <c r="T38" s="71"/>
      <c r="U38" s="71"/>
      <c r="V38" s="71"/>
      <c r="W38" s="76"/>
      <c r="X38" s="71"/>
      <c r="Y38" s="71"/>
      <c r="Z38" s="76"/>
      <c r="AA38" s="71"/>
      <c r="AB38" s="71"/>
      <c r="AC38" s="76"/>
      <c r="AD38" s="71"/>
      <c r="AE38" s="71"/>
      <c r="AF38" s="76"/>
      <c r="AG38" s="71"/>
      <c r="AH38" s="71"/>
      <c r="AI38" s="76"/>
      <c r="AJ38" s="71"/>
      <c r="AK38" s="71"/>
      <c r="AL38" s="76"/>
      <c r="AM38" s="71"/>
      <c r="AN38" s="71"/>
      <c r="AO38" s="76"/>
      <c r="AP38" s="71"/>
      <c r="AQ38" s="71"/>
      <c r="AR38" s="76"/>
      <c r="AS38" s="71"/>
      <c r="AT38" s="71"/>
      <c r="AU38" s="76"/>
      <c r="AV38" s="71"/>
      <c r="AW38" s="71"/>
      <c r="AX38" s="76"/>
      <c r="AY38" s="71"/>
      <c r="AZ38" s="71"/>
      <c r="BA38" s="76"/>
      <c r="BB38" s="71"/>
      <c r="BC38" s="71"/>
      <c r="BD38" s="76"/>
      <c r="BE38" s="71"/>
      <c r="BF38" s="71"/>
      <c r="BG38" s="76"/>
      <c r="BH38" s="71"/>
      <c r="BI38" s="71"/>
      <c r="BJ38" s="76"/>
      <c r="BK38" s="71"/>
      <c r="BL38" s="71"/>
      <c r="BM38" s="76"/>
      <c r="BN38" s="71"/>
      <c r="BO38" s="71"/>
      <c r="BP38" s="76"/>
      <c r="BQ38" s="71"/>
      <c r="BR38" s="71"/>
      <c r="BS38" s="76"/>
      <c r="BT38" s="71"/>
      <c r="BU38" s="71"/>
      <c r="BV38" s="76"/>
      <c r="BW38" s="71"/>
      <c r="BX38" s="71"/>
      <c r="BY38" s="76"/>
      <c r="BZ38" s="76"/>
      <c r="CA38" s="76"/>
      <c r="CB38" s="76"/>
      <c r="CC38" s="76"/>
      <c r="CD38" s="76"/>
      <c r="CE38" s="76"/>
      <c r="CF38" s="71"/>
      <c r="CG38" s="71"/>
      <c r="CH38" s="71"/>
      <c r="CI38" s="71"/>
      <c r="CJ38" s="71"/>
      <c r="CK38" s="71"/>
      <c r="CL38" s="71"/>
      <c r="CM38" s="71"/>
      <c r="CN38" s="71"/>
      <c r="CO38" s="71"/>
      <c r="CP38" s="70"/>
      <c r="CQ38" s="70"/>
      <c r="CR38" s="70"/>
      <c r="CS38" s="70"/>
      <c r="CT38" s="70"/>
      <c r="CU38" s="70"/>
    </row>
    <row r="39" spans="1:99" s="86" customFormat="1" ht="12.75">
      <c r="A39" s="71"/>
      <c r="B39" s="71"/>
      <c r="C39" s="71"/>
      <c r="D39" s="71"/>
      <c r="E39" s="71"/>
      <c r="F39" s="71"/>
      <c r="G39" s="71"/>
      <c r="H39" s="93"/>
      <c r="I39" s="71"/>
      <c r="J39" s="71"/>
      <c r="K39" s="71"/>
      <c r="L39" s="71"/>
      <c r="M39" s="71"/>
      <c r="N39" s="71"/>
      <c r="O39" s="71"/>
      <c r="P39" s="71"/>
      <c r="Q39" s="71"/>
      <c r="R39" s="71"/>
      <c r="S39" s="71"/>
      <c r="T39" s="71"/>
      <c r="U39" s="71"/>
      <c r="V39" s="71"/>
      <c r="W39" s="76"/>
      <c r="X39" s="71"/>
      <c r="Y39" s="71"/>
      <c r="Z39" s="76"/>
      <c r="AA39" s="71"/>
      <c r="AB39" s="71"/>
      <c r="AC39" s="76"/>
      <c r="AD39" s="71"/>
      <c r="AE39" s="71"/>
      <c r="AF39" s="76"/>
      <c r="AG39" s="71"/>
      <c r="AH39" s="71"/>
      <c r="AI39" s="76"/>
      <c r="AJ39" s="71"/>
      <c r="AK39" s="71"/>
      <c r="AL39" s="76"/>
      <c r="AM39" s="71"/>
      <c r="AN39" s="71"/>
      <c r="AO39" s="76"/>
      <c r="AP39" s="71"/>
      <c r="AQ39" s="71"/>
      <c r="AR39" s="76"/>
      <c r="AS39" s="71"/>
      <c r="AT39" s="71"/>
      <c r="AU39" s="76"/>
      <c r="AV39" s="71"/>
      <c r="AW39" s="71"/>
      <c r="AX39" s="76"/>
      <c r="AY39" s="71"/>
      <c r="AZ39" s="71"/>
      <c r="BA39" s="76"/>
      <c r="BB39" s="71"/>
      <c r="BC39" s="71"/>
      <c r="BD39" s="76"/>
      <c r="BE39" s="71"/>
      <c r="BF39" s="71"/>
      <c r="BG39" s="76"/>
      <c r="BH39" s="71"/>
      <c r="BI39" s="71"/>
      <c r="BJ39" s="76"/>
      <c r="BK39" s="71"/>
      <c r="BL39" s="71"/>
      <c r="BM39" s="76"/>
      <c r="BN39" s="71"/>
      <c r="BO39" s="71"/>
      <c r="BP39" s="76"/>
      <c r="BQ39" s="71"/>
      <c r="BR39" s="71"/>
      <c r="BS39" s="76"/>
      <c r="BT39" s="71"/>
      <c r="BU39" s="71"/>
      <c r="BV39" s="76"/>
      <c r="BW39" s="71"/>
      <c r="BX39" s="71"/>
      <c r="BY39" s="76"/>
      <c r="BZ39" s="76"/>
      <c r="CA39" s="76"/>
      <c r="CB39" s="76"/>
      <c r="CC39" s="76"/>
      <c r="CD39" s="76"/>
      <c r="CE39" s="76"/>
      <c r="CF39" s="71"/>
      <c r="CG39" s="71"/>
      <c r="CH39" s="71"/>
      <c r="CI39" s="71"/>
      <c r="CJ39" s="71"/>
      <c r="CK39" s="71"/>
      <c r="CL39" s="71"/>
      <c r="CM39" s="71"/>
      <c r="CN39" s="71"/>
      <c r="CO39" s="71"/>
      <c r="CP39" s="70"/>
      <c r="CQ39" s="70"/>
      <c r="CR39" s="70"/>
      <c r="CS39" s="70"/>
      <c r="CT39" s="70"/>
      <c r="CU39" s="70"/>
    </row>
    <row r="40" spans="1:99" s="86" customFormat="1" ht="12.75">
      <c r="A40" s="71"/>
      <c r="B40" s="71"/>
      <c r="C40" s="71"/>
      <c r="D40" s="71"/>
      <c r="E40" s="71"/>
      <c r="F40" s="71"/>
      <c r="G40" s="71"/>
      <c r="H40" s="93"/>
      <c r="I40" s="71"/>
      <c r="J40" s="71"/>
      <c r="K40" s="71"/>
      <c r="L40" s="71"/>
      <c r="M40" s="71"/>
      <c r="N40" s="71"/>
      <c r="O40" s="71"/>
      <c r="P40" s="71"/>
      <c r="Q40" s="71"/>
      <c r="R40" s="71"/>
      <c r="S40" s="71"/>
      <c r="T40" s="71"/>
      <c r="U40" s="71"/>
      <c r="V40" s="71"/>
      <c r="W40" s="76"/>
      <c r="X40" s="71"/>
      <c r="Y40" s="71"/>
      <c r="Z40" s="76"/>
      <c r="AA40" s="71"/>
      <c r="AB40" s="71"/>
      <c r="AC40" s="76"/>
      <c r="AD40" s="71"/>
      <c r="AE40" s="71"/>
      <c r="AF40" s="76"/>
      <c r="AG40" s="71"/>
      <c r="AH40" s="71"/>
      <c r="AI40" s="76"/>
      <c r="AJ40" s="71"/>
      <c r="AK40" s="71"/>
      <c r="AL40" s="76"/>
      <c r="AM40" s="71"/>
      <c r="AN40" s="71"/>
      <c r="AO40" s="76"/>
      <c r="AP40" s="71"/>
      <c r="AQ40" s="71"/>
      <c r="AR40" s="76"/>
      <c r="AS40" s="71"/>
      <c r="AT40" s="71"/>
      <c r="AU40" s="76"/>
      <c r="AV40" s="71"/>
      <c r="AW40" s="71"/>
      <c r="AX40" s="76"/>
      <c r="AY40" s="71"/>
      <c r="AZ40" s="71"/>
      <c r="BA40" s="76"/>
      <c r="BB40" s="71"/>
      <c r="BC40" s="71"/>
      <c r="BD40" s="76"/>
      <c r="BE40" s="71"/>
      <c r="BF40" s="71"/>
      <c r="BG40" s="76"/>
      <c r="BH40" s="71"/>
      <c r="BI40" s="71"/>
      <c r="BJ40" s="76"/>
      <c r="BK40" s="71"/>
      <c r="BL40" s="71"/>
      <c r="BM40" s="76"/>
      <c r="BN40" s="71"/>
      <c r="BO40" s="71"/>
      <c r="BP40" s="76"/>
      <c r="BQ40" s="71"/>
      <c r="BR40" s="71"/>
      <c r="BS40" s="76"/>
      <c r="BT40" s="71"/>
      <c r="BU40" s="71"/>
      <c r="BV40" s="76"/>
      <c r="BW40" s="71"/>
      <c r="BX40" s="71"/>
      <c r="BY40" s="76"/>
      <c r="BZ40" s="76"/>
      <c r="CA40" s="76"/>
      <c r="CB40" s="76"/>
      <c r="CC40" s="76"/>
      <c r="CD40" s="76"/>
      <c r="CE40" s="76"/>
      <c r="CF40" s="71"/>
      <c r="CG40" s="71"/>
      <c r="CH40" s="71"/>
      <c r="CI40" s="71"/>
      <c r="CJ40" s="71"/>
      <c r="CK40" s="71"/>
      <c r="CL40" s="71"/>
      <c r="CM40" s="71"/>
      <c r="CN40" s="71"/>
      <c r="CO40" s="71"/>
      <c r="CP40" s="70"/>
      <c r="CQ40" s="70"/>
      <c r="CR40" s="70"/>
      <c r="CS40" s="70"/>
      <c r="CT40" s="70"/>
      <c r="CU40" s="70"/>
    </row>
    <row r="41" spans="1:99" s="86" customFormat="1" ht="12.75">
      <c r="A41" s="71"/>
      <c r="B41" s="71"/>
      <c r="C41" s="71"/>
      <c r="D41" s="71"/>
      <c r="E41" s="71"/>
      <c r="F41" s="71"/>
      <c r="G41" s="71"/>
      <c r="H41" s="93"/>
      <c r="I41" s="71"/>
      <c r="J41" s="71"/>
      <c r="K41" s="71"/>
      <c r="L41" s="71"/>
      <c r="M41" s="71"/>
      <c r="N41" s="71"/>
      <c r="O41" s="71"/>
      <c r="P41" s="71"/>
      <c r="Q41" s="71"/>
      <c r="R41" s="71"/>
      <c r="S41" s="71"/>
      <c r="T41" s="71"/>
      <c r="U41" s="71"/>
      <c r="V41" s="71"/>
      <c r="W41" s="76"/>
      <c r="X41" s="71"/>
      <c r="Y41" s="71"/>
      <c r="Z41" s="76"/>
      <c r="AA41" s="71"/>
      <c r="AB41" s="71"/>
      <c r="AC41" s="76"/>
      <c r="AD41" s="71"/>
      <c r="AE41" s="71"/>
      <c r="AF41" s="76"/>
      <c r="AG41" s="71"/>
      <c r="AH41" s="71"/>
      <c r="AI41" s="76"/>
      <c r="AJ41" s="71"/>
      <c r="AK41" s="71"/>
      <c r="AL41" s="76"/>
      <c r="AM41" s="71"/>
      <c r="AN41" s="71"/>
      <c r="AO41" s="76"/>
      <c r="AP41" s="71"/>
      <c r="AQ41" s="71"/>
      <c r="AR41" s="76"/>
      <c r="AS41" s="71"/>
      <c r="AT41" s="71"/>
      <c r="AU41" s="76"/>
      <c r="AV41" s="71"/>
      <c r="AW41" s="71"/>
      <c r="AX41" s="76"/>
      <c r="AY41" s="71"/>
      <c r="AZ41" s="71"/>
      <c r="BA41" s="76"/>
      <c r="BB41" s="71"/>
      <c r="BC41" s="71"/>
      <c r="BD41" s="76"/>
      <c r="BE41" s="71"/>
      <c r="BF41" s="71"/>
      <c r="BG41" s="76"/>
      <c r="BH41" s="71"/>
      <c r="BI41" s="71"/>
      <c r="BJ41" s="76"/>
      <c r="BK41" s="71"/>
      <c r="BL41" s="71"/>
      <c r="BM41" s="76"/>
      <c r="BN41" s="71"/>
      <c r="BO41" s="71"/>
      <c r="BP41" s="76"/>
      <c r="BQ41" s="71"/>
      <c r="BR41" s="71"/>
      <c r="BS41" s="76"/>
      <c r="BT41" s="71"/>
      <c r="BU41" s="71"/>
      <c r="BV41" s="76"/>
      <c r="BW41" s="71"/>
      <c r="BX41" s="71"/>
      <c r="BY41" s="76"/>
      <c r="BZ41" s="76"/>
      <c r="CA41" s="76"/>
      <c r="CB41" s="76"/>
      <c r="CC41" s="76"/>
      <c r="CD41" s="76"/>
      <c r="CE41" s="76"/>
      <c r="CF41" s="71"/>
      <c r="CG41" s="71"/>
      <c r="CH41" s="71"/>
      <c r="CI41" s="71"/>
      <c r="CJ41" s="71"/>
      <c r="CK41" s="71"/>
      <c r="CL41" s="71"/>
      <c r="CM41" s="71"/>
      <c r="CN41" s="71"/>
      <c r="CO41" s="71"/>
      <c r="CP41" s="70"/>
      <c r="CQ41" s="70"/>
      <c r="CR41" s="70"/>
      <c r="CS41" s="70"/>
      <c r="CT41" s="70"/>
      <c r="CU41" s="70"/>
    </row>
    <row r="42" spans="1:99" s="86" customFormat="1" ht="12.75">
      <c r="A42" s="71"/>
      <c r="B42" s="71"/>
      <c r="C42" s="145"/>
      <c r="D42" s="71"/>
      <c r="E42" s="71"/>
      <c r="F42" s="71"/>
      <c r="G42" s="71"/>
      <c r="H42" s="93"/>
      <c r="I42" s="71"/>
      <c r="J42" s="71"/>
      <c r="K42" s="71"/>
      <c r="L42" s="71"/>
      <c r="M42" s="71"/>
      <c r="N42" s="71"/>
      <c r="O42" s="71"/>
      <c r="P42" s="71"/>
      <c r="Q42" s="71"/>
      <c r="R42" s="71"/>
      <c r="S42" s="71"/>
      <c r="T42" s="71"/>
      <c r="U42" s="71"/>
      <c r="V42" s="71"/>
      <c r="W42" s="76"/>
      <c r="X42" s="71"/>
      <c r="Y42" s="71"/>
      <c r="Z42" s="76"/>
      <c r="AA42" s="71"/>
      <c r="AB42" s="71"/>
      <c r="AC42" s="76"/>
      <c r="AD42" s="71"/>
      <c r="AE42" s="71"/>
      <c r="AF42" s="76"/>
      <c r="AG42" s="71"/>
      <c r="AH42" s="71"/>
      <c r="AI42" s="76"/>
      <c r="AJ42" s="71"/>
      <c r="AK42" s="71"/>
      <c r="AL42" s="76"/>
      <c r="AM42" s="71"/>
      <c r="AN42" s="71"/>
      <c r="AO42" s="76"/>
      <c r="AP42" s="71"/>
      <c r="AQ42" s="71"/>
      <c r="AR42" s="76"/>
      <c r="AS42" s="71"/>
      <c r="AT42" s="71"/>
      <c r="AU42" s="76"/>
      <c r="AV42" s="71"/>
      <c r="AW42" s="71"/>
      <c r="AX42" s="76"/>
      <c r="AY42" s="71"/>
      <c r="AZ42" s="71"/>
      <c r="BA42" s="76"/>
      <c r="BB42" s="71"/>
      <c r="BC42" s="71"/>
      <c r="BD42" s="76"/>
      <c r="BE42" s="71"/>
      <c r="BF42" s="71"/>
      <c r="BG42" s="76"/>
      <c r="BH42" s="71"/>
      <c r="BI42" s="71"/>
      <c r="BJ42" s="76"/>
      <c r="BK42" s="71"/>
      <c r="BL42" s="71"/>
      <c r="BM42" s="76"/>
      <c r="BN42" s="71"/>
      <c r="BO42" s="71"/>
      <c r="BP42" s="76"/>
      <c r="BQ42" s="71"/>
      <c r="BR42" s="71"/>
      <c r="BS42" s="76"/>
      <c r="BT42" s="71"/>
      <c r="BU42" s="71"/>
      <c r="BV42" s="76"/>
      <c r="BW42" s="71"/>
      <c r="BX42" s="71"/>
      <c r="BY42" s="76"/>
      <c r="BZ42" s="76"/>
      <c r="CA42" s="76"/>
      <c r="CB42" s="76"/>
      <c r="CC42" s="76"/>
      <c r="CD42" s="76"/>
      <c r="CE42" s="76"/>
      <c r="CF42" s="71"/>
      <c r="CG42" s="71"/>
      <c r="CH42" s="71"/>
      <c r="CI42" s="71"/>
      <c r="CJ42" s="71"/>
      <c r="CK42" s="71"/>
      <c r="CL42" s="71"/>
      <c r="CM42" s="71"/>
      <c r="CN42" s="71"/>
      <c r="CO42" s="71"/>
      <c r="CP42" s="70"/>
      <c r="CQ42" s="70"/>
      <c r="CR42" s="70"/>
      <c r="CS42" s="70"/>
      <c r="CT42" s="70"/>
      <c r="CU42" s="70"/>
    </row>
    <row r="43" spans="1:99">
      <c r="A43" s="71"/>
      <c r="B43" s="71"/>
      <c r="C43" s="71"/>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8"/>
      <c r="CO43" s="88"/>
      <c r="CP43" s="88"/>
      <c r="CQ43" s="88"/>
      <c r="CR43" s="88"/>
      <c r="CS43" s="88"/>
      <c r="CT43" s="88"/>
      <c r="CU43" s="88"/>
    </row>
    <row r="44" spans="1:99">
      <c r="A44" s="71"/>
      <c r="B44" s="71"/>
      <c r="C44" s="71"/>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8"/>
      <c r="CO44" s="88"/>
      <c r="CP44" s="88"/>
      <c r="CQ44" s="88"/>
      <c r="CR44" s="88"/>
      <c r="CS44" s="88"/>
      <c r="CT44" s="88"/>
      <c r="CU44" s="88"/>
    </row>
    <row r="45" spans="1:99">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8"/>
      <c r="CO45" s="88"/>
      <c r="CP45" s="88"/>
      <c r="CQ45" s="88"/>
      <c r="CR45" s="88"/>
      <c r="CS45" s="88"/>
      <c r="CT45" s="88"/>
      <c r="CU45" s="88"/>
    </row>
    <row r="46" spans="1:99">
      <c r="A46" s="88"/>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8"/>
      <c r="CO46" s="88"/>
      <c r="CP46" s="88"/>
      <c r="CQ46" s="88"/>
      <c r="CR46" s="88"/>
      <c r="CS46" s="88"/>
      <c r="CT46" s="88"/>
      <c r="CU46" s="88"/>
    </row>
    <row r="47" spans="1:99">
      <c r="A47" s="88"/>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8"/>
      <c r="CO47" s="88"/>
      <c r="CP47" s="88"/>
      <c r="CQ47" s="88"/>
      <c r="CR47" s="88"/>
      <c r="CS47" s="88"/>
      <c r="CT47" s="88"/>
      <c r="CU47" s="88"/>
    </row>
    <row r="48" spans="1:99">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8"/>
      <c r="CO48" s="88"/>
      <c r="CP48" s="88"/>
      <c r="CQ48" s="88"/>
      <c r="CR48" s="88"/>
      <c r="CS48" s="88"/>
      <c r="CT48" s="88"/>
      <c r="CU48" s="88"/>
    </row>
    <row r="49" spans="1:99">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row>
    <row r="50" spans="1:99">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c r="CP50" s="88"/>
      <c r="CQ50" s="88"/>
      <c r="CR50" s="88"/>
      <c r="CS50" s="88"/>
      <c r="CT50" s="88"/>
      <c r="CU50" s="88"/>
    </row>
    <row r="51" spans="1:99">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88"/>
      <c r="BZ51" s="88"/>
      <c r="CA51" s="88"/>
      <c r="CB51" s="88"/>
      <c r="CC51" s="88"/>
      <c r="CD51" s="88"/>
      <c r="CE51" s="88"/>
      <c r="CF51" s="88"/>
      <c r="CG51" s="88"/>
      <c r="CH51" s="88"/>
      <c r="CI51" s="88"/>
      <c r="CJ51" s="88"/>
      <c r="CK51" s="88"/>
      <c r="CL51" s="88"/>
      <c r="CM51" s="88"/>
      <c r="CN51" s="88"/>
      <c r="CO51" s="88"/>
      <c r="CP51" s="88"/>
      <c r="CQ51" s="88"/>
      <c r="CR51" s="88"/>
      <c r="CS51" s="88"/>
      <c r="CT51" s="88"/>
      <c r="CU51" s="88"/>
    </row>
    <row r="52" spans="1:99">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8"/>
      <c r="CO52" s="88"/>
      <c r="CP52" s="88"/>
      <c r="CQ52" s="88"/>
      <c r="CR52" s="88"/>
      <c r="CS52" s="88"/>
      <c r="CT52" s="88"/>
      <c r="CU52" s="88"/>
    </row>
    <row r="53" spans="1:99">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row>
    <row r="54" spans="1:99">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row>
    <row r="55" spans="1:99">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88"/>
      <c r="BZ55" s="88"/>
      <c r="CA55" s="88"/>
      <c r="CB55" s="88"/>
      <c r="CC55" s="88"/>
      <c r="CD55" s="88"/>
      <c r="CE55" s="88"/>
      <c r="CF55" s="88"/>
      <c r="CG55" s="88"/>
      <c r="CH55" s="88"/>
      <c r="CI55" s="88"/>
      <c r="CJ55" s="88"/>
      <c r="CK55" s="88"/>
      <c r="CL55" s="88"/>
      <c r="CM55" s="88"/>
      <c r="CN55" s="88"/>
      <c r="CO55" s="88"/>
      <c r="CP55" s="88"/>
      <c r="CQ55" s="88"/>
      <c r="CR55" s="88"/>
      <c r="CS55" s="88"/>
      <c r="CT55" s="88"/>
      <c r="CU55" s="88"/>
    </row>
    <row r="56" spans="1:99">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row>
    <row r="57" spans="1:99">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row>
    <row r="58" spans="1:99">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88"/>
      <c r="BZ58" s="88"/>
      <c r="CA58" s="88"/>
      <c r="CB58" s="88"/>
      <c r="CC58" s="88"/>
      <c r="CD58" s="88"/>
      <c r="CE58" s="88"/>
      <c r="CF58" s="88"/>
      <c r="CG58" s="88"/>
      <c r="CH58" s="88"/>
      <c r="CI58" s="88"/>
      <c r="CJ58" s="88"/>
      <c r="CK58" s="88"/>
      <c r="CL58" s="88"/>
      <c r="CM58" s="88"/>
      <c r="CN58" s="88"/>
      <c r="CO58" s="88"/>
      <c r="CP58" s="88"/>
      <c r="CQ58" s="88"/>
      <c r="CR58" s="88"/>
      <c r="CS58" s="88"/>
      <c r="CT58" s="88"/>
      <c r="CU58" s="88"/>
    </row>
    <row r="59" spans="1:99">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8"/>
      <c r="CO59" s="88"/>
      <c r="CP59" s="88"/>
      <c r="CQ59" s="88"/>
      <c r="CR59" s="88"/>
      <c r="CS59" s="88"/>
      <c r="CT59" s="88"/>
      <c r="CU59" s="88"/>
    </row>
    <row r="60" spans="1:99">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8"/>
      <c r="CO60" s="88"/>
      <c r="CP60" s="88"/>
      <c r="CQ60" s="88"/>
      <c r="CR60" s="88"/>
      <c r="CS60" s="88"/>
      <c r="CT60" s="88"/>
      <c r="CU60" s="88"/>
    </row>
    <row r="61" spans="1:99">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8"/>
      <c r="CO61" s="88"/>
      <c r="CP61" s="88"/>
      <c r="CQ61" s="88"/>
      <c r="CR61" s="88"/>
      <c r="CS61" s="88"/>
      <c r="CT61" s="88"/>
      <c r="CU61" s="88"/>
    </row>
    <row r="62" spans="1:99">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8"/>
      <c r="CO62" s="88"/>
      <c r="CP62" s="88"/>
      <c r="CQ62" s="88"/>
      <c r="CR62" s="88"/>
      <c r="CS62" s="88"/>
      <c r="CT62" s="88"/>
      <c r="CU62" s="88"/>
    </row>
    <row r="63" spans="1:99">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8"/>
      <c r="CO63" s="88"/>
      <c r="CP63" s="88"/>
      <c r="CQ63" s="88"/>
      <c r="CR63" s="88"/>
      <c r="CS63" s="88"/>
      <c r="CT63" s="88"/>
      <c r="CU63" s="88"/>
    </row>
    <row r="64" spans="1:99">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row>
    <row r="65" spans="1:99">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8"/>
      <c r="CO65" s="88"/>
      <c r="CP65" s="88"/>
      <c r="CQ65" s="88"/>
      <c r="CR65" s="88"/>
      <c r="CS65" s="88"/>
      <c r="CT65" s="88"/>
      <c r="CU65" s="88"/>
    </row>
    <row r="66" spans="1:99">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88"/>
      <c r="BZ66" s="88"/>
      <c r="CA66" s="88"/>
      <c r="CB66" s="88"/>
      <c r="CC66" s="88"/>
      <c r="CD66" s="88"/>
      <c r="CE66" s="88"/>
      <c r="CF66" s="88"/>
      <c r="CG66" s="88"/>
      <c r="CH66" s="88"/>
      <c r="CI66" s="88"/>
      <c r="CJ66" s="88"/>
      <c r="CK66" s="88"/>
      <c r="CL66" s="88"/>
      <c r="CM66" s="88"/>
      <c r="CN66" s="88"/>
      <c r="CO66" s="88"/>
      <c r="CP66" s="88"/>
      <c r="CQ66" s="88"/>
      <c r="CR66" s="88"/>
      <c r="CS66" s="88"/>
      <c r="CT66" s="88"/>
      <c r="CU66" s="88"/>
    </row>
    <row r="67" spans="1:99">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8"/>
      <c r="CO67" s="88"/>
      <c r="CP67" s="88"/>
      <c r="CQ67" s="88"/>
      <c r="CR67" s="88"/>
      <c r="CS67" s="88"/>
      <c r="CT67" s="88"/>
      <c r="CU67" s="88"/>
    </row>
    <row r="68" spans="1:99">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row>
    <row r="69" spans="1:99">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row>
    <row r="70" spans="1:99">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88"/>
      <c r="BZ70" s="88"/>
      <c r="CA70" s="88"/>
      <c r="CB70" s="88"/>
      <c r="CC70" s="88"/>
      <c r="CD70" s="88"/>
      <c r="CE70" s="88"/>
      <c r="CF70" s="88"/>
      <c r="CG70" s="88"/>
      <c r="CH70" s="88"/>
      <c r="CI70" s="88"/>
      <c r="CJ70" s="88"/>
      <c r="CK70" s="88"/>
      <c r="CL70" s="88"/>
      <c r="CM70" s="88"/>
      <c r="CN70" s="88"/>
      <c r="CO70" s="88"/>
      <c r="CP70" s="88"/>
      <c r="CQ70" s="88"/>
      <c r="CR70" s="88"/>
      <c r="CS70" s="88"/>
      <c r="CT70" s="88"/>
      <c r="CU70" s="88"/>
    </row>
    <row r="71" spans="1:99">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row>
    <row r="72" spans="1:99">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row>
    <row r="73" spans="1:99">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88"/>
      <c r="BZ73" s="88"/>
      <c r="CA73" s="88"/>
      <c r="CB73" s="88"/>
      <c r="CC73" s="88"/>
      <c r="CD73" s="88"/>
      <c r="CE73" s="88"/>
      <c r="CF73" s="88"/>
      <c r="CG73" s="88"/>
      <c r="CH73" s="88"/>
      <c r="CI73" s="88"/>
      <c r="CJ73" s="88"/>
      <c r="CK73" s="88"/>
      <c r="CL73" s="88"/>
      <c r="CM73" s="88"/>
      <c r="CN73" s="88"/>
      <c r="CO73" s="88"/>
      <c r="CP73" s="88"/>
      <c r="CQ73" s="88"/>
      <c r="CR73" s="88"/>
      <c r="CS73" s="88"/>
      <c r="CT73" s="88"/>
      <c r="CU73" s="88"/>
    </row>
    <row r="74" spans="1:99">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8"/>
      <c r="CO74" s="88"/>
      <c r="CP74" s="88"/>
      <c r="CQ74" s="88"/>
      <c r="CR74" s="88"/>
      <c r="CS74" s="88"/>
      <c r="CT74" s="88"/>
      <c r="CU74" s="88"/>
    </row>
    <row r="75" spans="1:99">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8"/>
      <c r="CO75" s="88"/>
      <c r="CP75" s="88"/>
      <c r="CQ75" s="88"/>
      <c r="CR75" s="88"/>
      <c r="CS75" s="88"/>
      <c r="CT75" s="88"/>
      <c r="CU75" s="88"/>
    </row>
    <row r="76" spans="1:99">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8"/>
      <c r="CO76" s="88"/>
      <c r="CP76" s="88"/>
      <c r="CQ76" s="88"/>
      <c r="CR76" s="88"/>
      <c r="CS76" s="88"/>
      <c r="CT76" s="88"/>
      <c r="CU76" s="88"/>
    </row>
    <row r="77" spans="1:99">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8"/>
      <c r="CO77" s="88"/>
      <c r="CP77" s="88"/>
      <c r="CQ77" s="88"/>
      <c r="CR77" s="88"/>
      <c r="CS77" s="88"/>
      <c r="CT77" s="88"/>
      <c r="CU77" s="88"/>
    </row>
    <row r="78" spans="1:99">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8"/>
      <c r="CO78" s="88"/>
      <c r="CP78" s="88"/>
      <c r="CQ78" s="88"/>
      <c r="CR78" s="88"/>
      <c r="CS78" s="88"/>
      <c r="CT78" s="88"/>
      <c r="CU78" s="88"/>
    </row>
    <row r="79" spans="1:99">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8"/>
      <c r="CO79" s="88"/>
      <c r="CP79" s="88"/>
      <c r="CQ79" s="88"/>
      <c r="CR79" s="88"/>
      <c r="CS79" s="88"/>
      <c r="CT79" s="88"/>
      <c r="CU79" s="88"/>
    </row>
    <row r="80" spans="1:99">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8"/>
      <c r="CO80" s="88"/>
      <c r="CP80" s="88"/>
      <c r="CQ80" s="88"/>
      <c r="CR80" s="88"/>
      <c r="CS80" s="88"/>
      <c r="CT80" s="88"/>
      <c r="CU80" s="88"/>
    </row>
    <row r="81" spans="1:99">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8"/>
      <c r="CO81" s="88"/>
      <c r="CP81" s="88"/>
      <c r="CQ81" s="88"/>
      <c r="CR81" s="88"/>
      <c r="CS81" s="88"/>
      <c r="CT81" s="88"/>
      <c r="CU81" s="88"/>
    </row>
    <row r="82" spans="1:99">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88"/>
      <c r="BZ82" s="88"/>
      <c r="CA82" s="88"/>
      <c r="CB82" s="88"/>
      <c r="CC82" s="88"/>
      <c r="CD82" s="88"/>
      <c r="CE82" s="88"/>
      <c r="CF82" s="88"/>
      <c r="CG82" s="88"/>
      <c r="CH82" s="88"/>
      <c r="CI82" s="88"/>
      <c r="CJ82" s="88"/>
      <c r="CK82" s="88"/>
      <c r="CL82" s="88"/>
      <c r="CM82" s="88"/>
      <c r="CN82" s="88"/>
      <c r="CO82" s="88"/>
      <c r="CP82" s="88"/>
      <c r="CQ82" s="88"/>
      <c r="CR82" s="88"/>
      <c r="CS82" s="88"/>
      <c r="CT82" s="88"/>
      <c r="CU82" s="88"/>
    </row>
    <row r="83" spans="1:99">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8"/>
      <c r="CO83" s="88"/>
      <c r="CP83" s="88"/>
      <c r="CQ83" s="88"/>
      <c r="CR83" s="88"/>
      <c r="CS83" s="88"/>
      <c r="CT83" s="88"/>
      <c r="CU83" s="88"/>
    </row>
    <row r="84" spans="1:99">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row>
    <row r="85" spans="1:99">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8"/>
      <c r="CO85" s="88"/>
      <c r="CP85" s="88"/>
      <c r="CQ85" s="88"/>
      <c r="CR85" s="88"/>
      <c r="CS85" s="88"/>
      <c r="CT85" s="88"/>
      <c r="CU85" s="88"/>
    </row>
    <row r="86" spans="1:99">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88"/>
      <c r="BZ86" s="88"/>
      <c r="CA86" s="88"/>
      <c r="CB86" s="88"/>
      <c r="CC86" s="88"/>
      <c r="CD86" s="88"/>
      <c r="CE86" s="88"/>
      <c r="CF86" s="88"/>
      <c r="CG86" s="88"/>
      <c r="CH86" s="88"/>
      <c r="CI86" s="88"/>
      <c r="CJ86" s="88"/>
      <c r="CK86" s="88"/>
      <c r="CL86" s="88"/>
      <c r="CM86" s="88"/>
      <c r="CN86" s="88"/>
      <c r="CO86" s="88"/>
      <c r="CP86" s="88"/>
      <c r="CQ86" s="88"/>
      <c r="CR86" s="88"/>
      <c r="CS86" s="88"/>
      <c r="CT86" s="88"/>
      <c r="CU86" s="88"/>
    </row>
    <row r="87" spans="1:99">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row>
    <row r="88" spans="1:99">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row>
    <row r="89" spans="1:99">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88"/>
      <c r="BZ89" s="88"/>
      <c r="CA89" s="88"/>
      <c r="CB89" s="88"/>
      <c r="CC89" s="88"/>
      <c r="CD89" s="88"/>
      <c r="CE89" s="88"/>
      <c r="CF89" s="88"/>
      <c r="CG89" s="88"/>
      <c r="CH89" s="88"/>
      <c r="CI89" s="88"/>
      <c r="CJ89" s="88"/>
      <c r="CK89" s="88"/>
      <c r="CL89" s="88"/>
      <c r="CM89" s="88"/>
      <c r="CN89" s="88"/>
      <c r="CO89" s="88"/>
      <c r="CP89" s="88"/>
      <c r="CQ89" s="88"/>
      <c r="CR89" s="88"/>
      <c r="CS89" s="88"/>
      <c r="CT89" s="88"/>
      <c r="CU89" s="88"/>
    </row>
    <row r="90" spans="1:99">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8"/>
      <c r="CO90" s="88"/>
      <c r="CP90" s="88"/>
      <c r="CQ90" s="88"/>
      <c r="CR90" s="88"/>
      <c r="CS90" s="88"/>
      <c r="CT90" s="88"/>
      <c r="CU90" s="88"/>
    </row>
    <row r="91" spans="1:99">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8"/>
      <c r="CO91" s="88"/>
      <c r="CP91" s="88"/>
      <c r="CQ91" s="88"/>
      <c r="CR91" s="88"/>
      <c r="CS91" s="88"/>
      <c r="CT91" s="88"/>
      <c r="CU91" s="88"/>
    </row>
    <row r="92" spans="1:99">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row>
    <row r="93" spans="1:99">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8"/>
      <c r="CO93" s="88"/>
      <c r="CP93" s="88"/>
      <c r="CQ93" s="88"/>
      <c r="CR93" s="88"/>
      <c r="CS93" s="88"/>
      <c r="CT93" s="88"/>
      <c r="CU93" s="88"/>
    </row>
    <row r="94" spans="1:99">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8"/>
      <c r="CO94" s="88"/>
      <c r="CP94" s="88"/>
      <c r="CQ94" s="88"/>
      <c r="CR94" s="88"/>
      <c r="CS94" s="88"/>
      <c r="CT94" s="88"/>
      <c r="CU94" s="88"/>
    </row>
    <row r="95" spans="1:99">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row>
    <row r="96" spans="1:99">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row>
    <row r="97" spans="1:99">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88"/>
      <c r="BZ97" s="88"/>
      <c r="CA97" s="88"/>
      <c r="CB97" s="88"/>
      <c r="CC97" s="88"/>
      <c r="CD97" s="88"/>
      <c r="CE97" s="88"/>
      <c r="CF97" s="88"/>
      <c r="CG97" s="88"/>
      <c r="CH97" s="88"/>
      <c r="CI97" s="88"/>
      <c r="CJ97" s="88"/>
      <c r="CK97" s="88"/>
      <c r="CL97" s="88"/>
      <c r="CM97" s="88"/>
      <c r="CN97" s="88"/>
      <c r="CO97" s="88"/>
      <c r="CP97" s="88"/>
      <c r="CQ97" s="88"/>
      <c r="CR97" s="88"/>
      <c r="CS97" s="88"/>
      <c r="CT97" s="88"/>
      <c r="CU97" s="88"/>
    </row>
    <row r="98" spans="1:99">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8"/>
      <c r="CO98" s="88"/>
      <c r="CP98" s="88"/>
      <c r="CQ98" s="88"/>
      <c r="CR98" s="88"/>
      <c r="CS98" s="88"/>
      <c r="CT98" s="88"/>
      <c r="CU98" s="88"/>
    </row>
    <row r="99" spans="1:99">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row>
    <row r="100" spans="1:99">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8"/>
      <c r="CO100" s="88"/>
      <c r="CP100" s="88"/>
      <c r="CQ100" s="88"/>
      <c r="CR100" s="88"/>
      <c r="CS100" s="88"/>
      <c r="CT100" s="88"/>
      <c r="CU100" s="88"/>
    </row>
    <row r="101" spans="1:99">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88"/>
      <c r="BZ101" s="88"/>
      <c r="CA101" s="88"/>
      <c r="CB101" s="88"/>
      <c r="CC101" s="88"/>
      <c r="CD101" s="88"/>
      <c r="CE101" s="88"/>
      <c r="CF101" s="88"/>
      <c r="CG101" s="88"/>
      <c r="CH101" s="88"/>
      <c r="CI101" s="88"/>
      <c r="CJ101" s="88"/>
      <c r="CK101" s="88"/>
      <c r="CL101" s="88"/>
      <c r="CM101" s="88"/>
      <c r="CN101" s="88"/>
      <c r="CO101" s="88"/>
      <c r="CP101" s="88"/>
      <c r="CQ101" s="88"/>
      <c r="CR101" s="88"/>
      <c r="CS101" s="88"/>
      <c r="CT101" s="88"/>
      <c r="CU101" s="88"/>
    </row>
    <row r="102" spans="1:99">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row>
    <row r="103" spans="1:99">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row>
    <row r="104" spans="1:99">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88"/>
      <c r="BZ104" s="88"/>
      <c r="CA104" s="88"/>
      <c r="CB104" s="88"/>
      <c r="CC104" s="88"/>
      <c r="CD104" s="88"/>
      <c r="CE104" s="88"/>
      <c r="CF104" s="88"/>
      <c r="CG104" s="88"/>
      <c r="CH104" s="88"/>
      <c r="CI104" s="88"/>
      <c r="CJ104" s="88"/>
      <c r="CK104" s="88"/>
      <c r="CL104" s="88"/>
      <c r="CM104" s="88"/>
      <c r="CN104" s="88"/>
      <c r="CO104" s="88"/>
      <c r="CP104" s="88"/>
      <c r="CQ104" s="88"/>
      <c r="CR104" s="88"/>
      <c r="CS104" s="88"/>
      <c r="CT104" s="88"/>
      <c r="CU104" s="88"/>
    </row>
    <row r="105" spans="1:99">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8"/>
      <c r="CO105" s="88"/>
      <c r="CP105" s="88"/>
      <c r="CQ105" s="88"/>
      <c r="CR105" s="88"/>
      <c r="CS105" s="88"/>
      <c r="CT105" s="88"/>
      <c r="CU105" s="88"/>
    </row>
    <row r="106" spans="1:99">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8"/>
      <c r="CO106" s="88"/>
      <c r="CP106" s="88"/>
      <c r="CQ106" s="88"/>
      <c r="CR106" s="88"/>
      <c r="CS106" s="88"/>
      <c r="CT106" s="88"/>
      <c r="CU106" s="88"/>
    </row>
    <row r="107" spans="1:99">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8"/>
      <c r="CO107" s="88"/>
      <c r="CP107" s="88"/>
      <c r="CQ107" s="88"/>
      <c r="CR107" s="88"/>
      <c r="CS107" s="88"/>
      <c r="CT107" s="88"/>
      <c r="CU107" s="88"/>
    </row>
    <row r="108" spans="1:99">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8"/>
      <c r="CO108" s="88"/>
      <c r="CP108" s="88"/>
      <c r="CQ108" s="88"/>
      <c r="CR108" s="88"/>
      <c r="CS108" s="88"/>
      <c r="CT108" s="88"/>
      <c r="CU108" s="88"/>
    </row>
    <row r="109" spans="1:99">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8"/>
      <c r="CO109" s="88"/>
      <c r="CP109" s="88"/>
      <c r="CQ109" s="88"/>
      <c r="CR109" s="88"/>
      <c r="CS109" s="88"/>
      <c r="CT109" s="88"/>
      <c r="CU109" s="88"/>
    </row>
    <row r="110" spans="1:99">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8"/>
      <c r="CO110" s="88"/>
      <c r="CP110" s="88"/>
      <c r="CQ110" s="88"/>
      <c r="CR110" s="88"/>
      <c r="CS110" s="88"/>
      <c r="CT110" s="88"/>
      <c r="CU110" s="88"/>
    </row>
    <row r="111" spans="1:99">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8"/>
      <c r="CO111" s="88"/>
      <c r="CP111" s="88"/>
      <c r="CQ111" s="88"/>
      <c r="CR111" s="88"/>
      <c r="CS111" s="88"/>
      <c r="CT111" s="88"/>
      <c r="CU111" s="88"/>
    </row>
    <row r="112" spans="1:99">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8"/>
      <c r="CO112" s="88"/>
      <c r="CP112" s="88"/>
      <c r="CQ112" s="88"/>
      <c r="CR112" s="88"/>
      <c r="CS112" s="88"/>
      <c r="CT112" s="88"/>
      <c r="CU112" s="88"/>
    </row>
    <row r="113" spans="1:99">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88"/>
      <c r="BZ113" s="88"/>
      <c r="CA113" s="88"/>
      <c r="CB113" s="88"/>
      <c r="CC113" s="88"/>
      <c r="CD113" s="88"/>
      <c r="CE113" s="88"/>
      <c r="CF113" s="88"/>
      <c r="CG113" s="88"/>
      <c r="CH113" s="88"/>
      <c r="CI113" s="88"/>
      <c r="CJ113" s="88"/>
      <c r="CK113" s="88"/>
      <c r="CL113" s="88"/>
      <c r="CM113" s="88"/>
      <c r="CN113" s="88"/>
      <c r="CO113" s="88"/>
      <c r="CP113" s="88"/>
      <c r="CQ113" s="88"/>
      <c r="CR113" s="88"/>
      <c r="CS113" s="88"/>
      <c r="CT113" s="88"/>
      <c r="CU113" s="88"/>
    </row>
    <row r="114" spans="1:99">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8"/>
      <c r="CO114" s="88"/>
      <c r="CP114" s="88"/>
      <c r="CQ114" s="88"/>
      <c r="CR114" s="88"/>
      <c r="CS114" s="88"/>
      <c r="CT114" s="88"/>
      <c r="CU114" s="88"/>
    </row>
    <row r="115" spans="1:99">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row>
    <row r="116" spans="1:99">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8"/>
      <c r="CO116" s="88"/>
      <c r="CP116" s="88"/>
      <c r="CQ116" s="88"/>
      <c r="CR116" s="88"/>
      <c r="CS116" s="88"/>
      <c r="CT116" s="88"/>
      <c r="CU116" s="88"/>
    </row>
    <row r="117" spans="1:99">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88"/>
      <c r="BZ117" s="88"/>
      <c r="CA117" s="88"/>
      <c r="CB117" s="88"/>
      <c r="CC117" s="88"/>
      <c r="CD117" s="88"/>
      <c r="CE117" s="88"/>
      <c r="CF117" s="88"/>
      <c r="CG117" s="88"/>
      <c r="CH117" s="88"/>
      <c r="CI117" s="88"/>
      <c r="CJ117" s="88"/>
      <c r="CK117" s="88"/>
      <c r="CL117" s="88"/>
      <c r="CM117" s="88"/>
      <c r="CN117" s="88"/>
      <c r="CO117" s="88"/>
      <c r="CP117" s="88"/>
      <c r="CQ117" s="88"/>
      <c r="CR117" s="88"/>
      <c r="CS117" s="88"/>
      <c r="CT117" s="88"/>
      <c r="CU117" s="88"/>
    </row>
    <row r="118" spans="1:99">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row>
    <row r="119" spans="1:99">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row>
    <row r="120" spans="1:99">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88"/>
      <c r="BZ120" s="88"/>
      <c r="CA120" s="88"/>
      <c r="CB120" s="88"/>
      <c r="CC120" s="88"/>
      <c r="CD120" s="88"/>
      <c r="CE120" s="88"/>
      <c r="CF120" s="88"/>
      <c r="CG120" s="88"/>
      <c r="CH120" s="88"/>
      <c r="CI120" s="88"/>
      <c r="CJ120" s="88"/>
      <c r="CK120" s="88"/>
      <c r="CL120" s="88"/>
      <c r="CM120" s="88"/>
      <c r="CN120" s="88"/>
      <c r="CO120" s="88"/>
      <c r="CP120" s="88"/>
      <c r="CQ120" s="88"/>
      <c r="CR120" s="88"/>
      <c r="CS120" s="88"/>
      <c r="CT120" s="88"/>
      <c r="CU120" s="88"/>
    </row>
    <row r="121" spans="1:99">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8"/>
      <c r="CO121" s="88"/>
      <c r="CP121" s="88"/>
      <c r="CQ121" s="88"/>
      <c r="CR121" s="88"/>
      <c r="CS121" s="88"/>
      <c r="CT121" s="88"/>
      <c r="CU121" s="88"/>
    </row>
    <row r="122" spans="1:99">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8"/>
      <c r="CO122" s="88"/>
      <c r="CP122" s="88"/>
      <c r="CQ122" s="88"/>
      <c r="CR122" s="88"/>
      <c r="CS122" s="88"/>
      <c r="CT122" s="88"/>
      <c r="CU122" s="88"/>
    </row>
    <row r="123" spans="1:99">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8"/>
      <c r="CO123" s="88"/>
      <c r="CP123" s="88"/>
      <c r="CQ123" s="88"/>
      <c r="CR123" s="88"/>
      <c r="CS123" s="88"/>
      <c r="CT123" s="88"/>
      <c r="CU123" s="88"/>
    </row>
    <row r="124" spans="1:99">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8"/>
      <c r="CO124" s="88"/>
      <c r="CP124" s="88"/>
      <c r="CQ124" s="88"/>
      <c r="CR124" s="88"/>
      <c r="CS124" s="88"/>
      <c r="CT124" s="88"/>
      <c r="CU124" s="88"/>
    </row>
    <row r="125" spans="1:99">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8"/>
      <c r="CO125" s="88"/>
      <c r="CP125" s="88"/>
      <c r="CQ125" s="88"/>
      <c r="CR125" s="88"/>
      <c r="CS125" s="88"/>
      <c r="CT125" s="88"/>
      <c r="CU125" s="88"/>
    </row>
    <row r="126" spans="1:99">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row>
    <row r="127" spans="1:99">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8"/>
      <c r="CO127" s="88"/>
      <c r="CP127" s="88"/>
      <c r="CQ127" s="88"/>
      <c r="CR127" s="88"/>
      <c r="CS127" s="88"/>
      <c r="CT127" s="88"/>
      <c r="CU127" s="88"/>
    </row>
    <row r="128" spans="1:99">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88"/>
      <c r="CH128" s="88"/>
      <c r="CI128" s="88"/>
      <c r="CJ128" s="88"/>
      <c r="CK128" s="88"/>
      <c r="CL128" s="88"/>
      <c r="CM128" s="88"/>
      <c r="CN128" s="88"/>
      <c r="CO128" s="88"/>
      <c r="CP128" s="88"/>
      <c r="CQ128" s="88"/>
      <c r="CR128" s="88"/>
      <c r="CS128" s="88"/>
      <c r="CT128" s="88"/>
      <c r="CU128" s="88"/>
    </row>
    <row r="129" spans="1:99">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8"/>
      <c r="CO129" s="88"/>
      <c r="CP129" s="88"/>
      <c r="CQ129" s="88"/>
      <c r="CR129" s="88"/>
      <c r="CS129" s="88"/>
      <c r="CT129" s="88"/>
      <c r="CU129" s="88"/>
    </row>
    <row r="130" spans="1:99">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row>
    <row r="131" spans="1:99">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8"/>
      <c r="CO131" s="88"/>
      <c r="CP131" s="88"/>
      <c r="CQ131" s="88"/>
      <c r="CR131" s="88"/>
      <c r="CS131" s="88"/>
      <c r="CT131" s="88"/>
      <c r="CU131" s="88"/>
    </row>
    <row r="132" spans="1:99">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88"/>
      <c r="CH132" s="88"/>
      <c r="CI132" s="88"/>
      <c r="CJ132" s="88"/>
      <c r="CK132" s="88"/>
      <c r="CL132" s="88"/>
      <c r="CM132" s="88"/>
      <c r="CN132" s="88"/>
      <c r="CO132" s="88"/>
      <c r="CP132" s="88"/>
      <c r="CQ132" s="88"/>
      <c r="CR132" s="88"/>
      <c r="CS132" s="88"/>
      <c r="CT132" s="88"/>
      <c r="CU132" s="88"/>
    </row>
    <row r="133" spans="1:99">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row>
    <row r="134" spans="1:99">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row>
    <row r="135" spans="1:99">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88"/>
      <c r="CH135" s="88"/>
      <c r="CI135" s="88"/>
      <c r="CJ135" s="88"/>
      <c r="CK135" s="88"/>
      <c r="CL135" s="88"/>
      <c r="CM135" s="88"/>
      <c r="CN135" s="88"/>
      <c r="CO135" s="88"/>
      <c r="CP135" s="88"/>
      <c r="CQ135" s="88"/>
      <c r="CR135" s="88"/>
      <c r="CS135" s="88"/>
      <c r="CT135" s="88"/>
      <c r="CU135" s="88"/>
    </row>
    <row r="136" spans="1:99">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8"/>
      <c r="CO136" s="88"/>
      <c r="CP136" s="88"/>
      <c r="CQ136" s="88"/>
      <c r="CR136" s="88"/>
      <c r="CS136" s="88"/>
      <c r="CT136" s="88"/>
      <c r="CU136" s="88"/>
    </row>
    <row r="137" spans="1:99">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8"/>
      <c r="CO137" s="88"/>
      <c r="CP137" s="88"/>
      <c r="CQ137" s="88"/>
      <c r="CR137" s="88"/>
      <c r="CS137" s="88"/>
      <c r="CT137" s="88"/>
      <c r="CU137" s="88"/>
    </row>
    <row r="138" spans="1:99">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8"/>
      <c r="CO138" s="88"/>
      <c r="CP138" s="88"/>
      <c r="CQ138" s="88"/>
      <c r="CR138" s="88"/>
      <c r="CS138" s="88"/>
      <c r="CT138" s="88"/>
      <c r="CU138" s="88"/>
    </row>
    <row r="139" spans="1:99">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88"/>
      <c r="CH139" s="88"/>
      <c r="CI139" s="88"/>
      <c r="CJ139" s="88"/>
      <c r="CK139" s="88"/>
      <c r="CL139" s="88"/>
      <c r="CM139" s="88"/>
      <c r="CN139" s="88"/>
      <c r="CO139" s="88"/>
      <c r="CP139" s="88"/>
      <c r="CQ139" s="88"/>
      <c r="CR139" s="88"/>
      <c r="CS139" s="88"/>
      <c r="CT139" s="88"/>
      <c r="CU139" s="88"/>
    </row>
    <row r="140" spans="1:99">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8"/>
      <c r="CO140" s="88"/>
      <c r="CP140" s="88"/>
      <c r="CQ140" s="88"/>
      <c r="CR140" s="88"/>
      <c r="CS140" s="88"/>
      <c r="CT140" s="88"/>
      <c r="CU140" s="88"/>
    </row>
    <row r="141" spans="1:99">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8"/>
      <c r="CO141" s="88"/>
      <c r="CP141" s="88"/>
      <c r="CQ141" s="88"/>
      <c r="CR141" s="88"/>
      <c r="CS141" s="88"/>
      <c r="CT141" s="88"/>
      <c r="CU141" s="88"/>
    </row>
    <row r="142" spans="1:99">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88"/>
      <c r="CH142" s="88"/>
      <c r="CI142" s="88"/>
      <c r="CJ142" s="88"/>
      <c r="CK142" s="88"/>
      <c r="CL142" s="88"/>
      <c r="CM142" s="88"/>
      <c r="CN142" s="88"/>
      <c r="CO142" s="88"/>
      <c r="CP142" s="88"/>
      <c r="CQ142" s="88"/>
      <c r="CR142" s="88"/>
      <c r="CS142" s="88"/>
      <c r="CT142" s="88"/>
      <c r="CU142" s="88"/>
    </row>
    <row r="143" spans="1:99">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88"/>
      <c r="CH143" s="88"/>
      <c r="CI143" s="88"/>
      <c r="CJ143" s="88"/>
      <c r="CK143" s="88"/>
      <c r="CL143" s="88"/>
      <c r="CM143" s="88"/>
      <c r="CN143" s="88"/>
      <c r="CO143" s="88"/>
      <c r="CP143" s="88"/>
      <c r="CQ143" s="88"/>
      <c r="CR143" s="88"/>
      <c r="CS143" s="88"/>
      <c r="CT143" s="88"/>
      <c r="CU143" s="88"/>
    </row>
    <row r="144" spans="1:99">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88"/>
      <c r="CH144" s="88"/>
      <c r="CI144" s="88"/>
      <c r="CJ144" s="88"/>
      <c r="CK144" s="88"/>
      <c r="CL144" s="88"/>
      <c r="CM144" s="88"/>
      <c r="CN144" s="88"/>
      <c r="CO144" s="88"/>
      <c r="CP144" s="88"/>
      <c r="CQ144" s="88"/>
      <c r="CR144" s="88"/>
      <c r="CS144" s="88"/>
      <c r="CT144" s="88"/>
      <c r="CU144" s="88"/>
    </row>
    <row r="145" spans="1:99">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88"/>
      <c r="CH145" s="88"/>
      <c r="CI145" s="88"/>
      <c r="CJ145" s="88"/>
      <c r="CK145" s="88"/>
      <c r="CL145" s="88"/>
      <c r="CM145" s="88"/>
      <c r="CN145" s="88"/>
      <c r="CO145" s="88"/>
      <c r="CP145" s="88"/>
      <c r="CQ145" s="88"/>
      <c r="CR145" s="88"/>
      <c r="CS145" s="88"/>
      <c r="CT145" s="88"/>
      <c r="CU145" s="88"/>
    </row>
    <row r="146" spans="1:99">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88"/>
      <c r="CH146" s="88"/>
      <c r="CI146" s="88"/>
      <c r="CJ146" s="88"/>
      <c r="CK146" s="88"/>
      <c r="CL146" s="88"/>
      <c r="CM146" s="88"/>
      <c r="CN146" s="88"/>
      <c r="CO146" s="88"/>
      <c r="CP146" s="88"/>
      <c r="CQ146" s="88"/>
      <c r="CR146" s="88"/>
      <c r="CS146" s="88"/>
      <c r="CT146" s="88"/>
      <c r="CU146" s="88"/>
    </row>
    <row r="147" spans="1:99">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88"/>
      <c r="CH147" s="88"/>
      <c r="CI147" s="88"/>
      <c r="CJ147" s="88"/>
      <c r="CK147" s="88"/>
      <c r="CL147" s="88"/>
      <c r="CM147" s="88"/>
      <c r="CN147" s="88"/>
      <c r="CO147" s="88"/>
      <c r="CP147" s="88"/>
      <c r="CQ147" s="88"/>
      <c r="CR147" s="88"/>
      <c r="CS147" s="88"/>
      <c r="CT147" s="88"/>
      <c r="CU147" s="88"/>
    </row>
    <row r="148" spans="1:99">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88"/>
      <c r="CH148" s="88"/>
      <c r="CI148" s="88"/>
      <c r="CJ148" s="88"/>
      <c r="CK148" s="88"/>
      <c r="CL148" s="88"/>
      <c r="CM148" s="88"/>
      <c r="CN148" s="88"/>
      <c r="CO148" s="88"/>
      <c r="CP148" s="88"/>
      <c r="CQ148" s="88"/>
      <c r="CR148" s="88"/>
      <c r="CS148" s="88"/>
      <c r="CT148" s="88"/>
      <c r="CU148" s="88"/>
    </row>
    <row r="149" spans="1:99">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88"/>
      <c r="CH149" s="88"/>
      <c r="CI149" s="88"/>
      <c r="CJ149" s="88"/>
      <c r="CK149" s="88"/>
      <c r="CL149" s="88"/>
      <c r="CM149" s="88"/>
      <c r="CN149" s="88"/>
      <c r="CO149" s="88"/>
      <c r="CP149" s="88"/>
      <c r="CQ149" s="88"/>
      <c r="CR149" s="88"/>
      <c r="CS149" s="88"/>
      <c r="CT149" s="88"/>
      <c r="CU149" s="88"/>
    </row>
    <row r="150" spans="1:99">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88"/>
      <c r="CH150" s="88"/>
      <c r="CI150" s="88"/>
      <c r="CJ150" s="88"/>
      <c r="CK150" s="88"/>
      <c r="CL150" s="88"/>
      <c r="CM150" s="88"/>
      <c r="CN150" s="88"/>
      <c r="CO150" s="88"/>
      <c r="CP150" s="88"/>
      <c r="CQ150" s="88"/>
      <c r="CR150" s="88"/>
      <c r="CS150" s="88"/>
      <c r="CT150" s="88"/>
      <c r="CU150" s="88"/>
    </row>
    <row r="151" spans="1:99">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88"/>
      <c r="CH151" s="88"/>
      <c r="CI151" s="88"/>
      <c r="CJ151" s="88"/>
      <c r="CK151" s="88"/>
      <c r="CL151" s="88"/>
      <c r="CM151" s="88"/>
      <c r="CN151" s="88"/>
      <c r="CO151" s="88"/>
      <c r="CP151" s="88"/>
      <c r="CQ151" s="88"/>
      <c r="CR151" s="88"/>
      <c r="CS151" s="88"/>
      <c r="CT151" s="88"/>
      <c r="CU151" s="88"/>
    </row>
    <row r="152" spans="1:99">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88"/>
      <c r="BZ152" s="88"/>
      <c r="CA152" s="88"/>
      <c r="CB152" s="88"/>
      <c r="CC152" s="88"/>
      <c r="CD152" s="88"/>
      <c r="CE152" s="88"/>
      <c r="CF152" s="88"/>
      <c r="CG152" s="88"/>
      <c r="CH152" s="88"/>
      <c r="CI152" s="88"/>
      <c r="CJ152" s="88"/>
      <c r="CK152" s="88"/>
      <c r="CL152" s="88"/>
      <c r="CM152" s="88"/>
      <c r="CN152" s="88"/>
      <c r="CO152" s="88"/>
      <c r="CP152" s="88"/>
      <c r="CQ152" s="88"/>
      <c r="CR152" s="88"/>
      <c r="CS152" s="88"/>
      <c r="CT152" s="88"/>
      <c r="CU152" s="88"/>
    </row>
    <row r="153" spans="1:99">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88"/>
      <c r="BZ153" s="88"/>
      <c r="CA153" s="88"/>
      <c r="CB153" s="88"/>
      <c r="CC153" s="88"/>
      <c r="CD153" s="88"/>
      <c r="CE153" s="88"/>
      <c r="CF153" s="88"/>
      <c r="CG153" s="88"/>
      <c r="CH153" s="88"/>
      <c r="CI153" s="88"/>
      <c r="CJ153" s="88"/>
      <c r="CK153" s="88"/>
      <c r="CL153" s="88"/>
      <c r="CM153" s="88"/>
      <c r="CN153" s="88"/>
      <c r="CO153" s="88"/>
      <c r="CP153" s="88"/>
      <c r="CQ153" s="88"/>
      <c r="CR153" s="88"/>
      <c r="CS153" s="88"/>
      <c r="CT153" s="88"/>
      <c r="CU153" s="88"/>
    </row>
    <row r="154" spans="1:99">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88"/>
      <c r="BZ154" s="88"/>
      <c r="CA154" s="88"/>
      <c r="CB154" s="88"/>
      <c r="CC154" s="88"/>
      <c r="CD154" s="88"/>
      <c r="CE154" s="88"/>
      <c r="CF154" s="88"/>
      <c r="CG154" s="88"/>
      <c r="CH154" s="88"/>
      <c r="CI154" s="88"/>
      <c r="CJ154" s="88"/>
      <c r="CK154" s="88"/>
      <c r="CL154" s="88"/>
      <c r="CM154" s="88"/>
      <c r="CN154" s="88"/>
      <c r="CO154" s="88"/>
      <c r="CP154" s="88"/>
      <c r="CQ154" s="88"/>
      <c r="CR154" s="88"/>
      <c r="CS154" s="88"/>
      <c r="CT154" s="88"/>
      <c r="CU154" s="88"/>
    </row>
    <row r="155" spans="1:99">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88"/>
      <c r="BZ155" s="88"/>
      <c r="CA155" s="88"/>
      <c r="CB155" s="88"/>
      <c r="CC155" s="88"/>
      <c r="CD155" s="88"/>
      <c r="CE155" s="88"/>
      <c r="CF155" s="88"/>
      <c r="CG155" s="88"/>
      <c r="CH155" s="88"/>
      <c r="CI155" s="88"/>
      <c r="CJ155" s="88"/>
      <c r="CK155" s="88"/>
      <c r="CL155" s="88"/>
      <c r="CM155" s="88"/>
      <c r="CN155" s="88"/>
      <c r="CO155" s="88"/>
      <c r="CP155" s="88"/>
      <c r="CQ155" s="88"/>
      <c r="CR155" s="88"/>
      <c r="CS155" s="88"/>
      <c r="CT155" s="88"/>
      <c r="CU155" s="88"/>
    </row>
    <row r="156" spans="1:99">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88"/>
      <c r="BZ156" s="88"/>
      <c r="CA156" s="88"/>
      <c r="CB156" s="88"/>
      <c r="CC156" s="88"/>
      <c r="CD156" s="88"/>
      <c r="CE156" s="88"/>
      <c r="CF156" s="88"/>
      <c r="CG156" s="88"/>
      <c r="CH156" s="88"/>
      <c r="CI156" s="88"/>
      <c r="CJ156" s="88"/>
      <c r="CK156" s="88"/>
      <c r="CL156" s="88"/>
      <c r="CM156" s="88"/>
      <c r="CN156" s="88"/>
      <c r="CO156" s="88"/>
      <c r="CP156" s="88"/>
      <c r="CQ156" s="88"/>
      <c r="CR156" s="88"/>
      <c r="CS156" s="88"/>
      <c r="CT156" s="88"/>
      <c r="CU156" s="88"/>
    </row>
    <row r="157" spans="1:99">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88"/>
      <c r="BZ157" s="88"/>
      <c r="CA157" s="88"/>
      <c r="CB157" s="88"/>
      <c r="CC157" s="88"/>
      <c r="CD157" s="88"/>
      <c r="CE157" s="88"/>
      <c r="CF157" s="88"/>
      <c r="CG157" s="88"/>
      <c r="CH157" s="88"/>
      <c r="CI157" s="88"/>
      <c r="CJ157" s="88"/>
      <c r="CK157" s="88"/>
      <c r="CL157" s="88"/>
      <c r="CM157" s="88"/>
      <c r="CN157" s="88"/>
      <c r="CO157" s="88"/>
      <c r="CP157" s="88"/>
      <c r="CQ157" s="88"/>
      <c r="CR157" s="88"/>
      <c r="CS157" s="88"/>
      <c r="CT157" s="88"/>
      <c r="CU157" s="88"/>
    </row>
    <row r="158" spans="1:99">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88"/>
      <c r="BZ158" s="88"/>
      <c r="CA158" s="88"/>
      <c r="CB158" s="88"/>
      <c r="CC158" s="88"/>
      <c r="CD158" s="88"/>
      <c r="CE158" s="88"/>
      <c r="CF158" s="88"/>
      <c r="CG158" s="88"/>
      <c r="CH158" s="88"/>
      <c r="CI158" s="88"/>
      <c r="CJ158" s="88"/>
      <c r="CK158" s="88"/>
      <c r="CL158" s="88"/>
      <c r="CM158" s="88"/>
      <c r="CN158" s="88"/>
      <c r="CO158" s="88"/>
      <c r="CP158" s="88"/>
      <c r="CQ158" s="88"/>
      <c r="CR158" s="88"/>
      <c r="CS158" s="88"/>
      <c r="CT158" s="88"/>
      <c r="CU158" s="88"/>
    </row>
    <row r="159" spans="1:99">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88"/>
      <c r="BZ159" s="88"/>
      <c r="CA159" s="88"/>
      <c r="CB159" s="88"/>
      <c r="CC159" s="88"/>
      <c r="CD159" s="88"/>
      <c r="CE159" s="88"/>
      <c r="CF159" s="88"/>
      <c r="CG159" s="88"/>
      <c r="CH159" s="88"/>
      <c r="CI159" s="88"/>
      <c r="CJ159" s="88"/>
      <c r="CK159" s="88"/>
      <c r="CL159" s="88"/>
      <c r="CM159" s="88"/>
      <c r="CN159" s="88"/>
      <c r="CO159" s="88"/>
      <c r="CP159" s="88"/>
      <c r="CQ159" s="88"/>
      <c r="CR159" s="88"/>
      <c r="CS159" s="88"/>
      <c r="CT159" s="88"/>
      <c r="CU159" s="88"/>
    </row>
    <row r="160" spans="1:99">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88"/>
      <c r="BZ160" s="88"/>
      <c r="CA160" s="88"/>
      <c r="CB160" s="88"/>
      <c r="CC160" s="88"/>
      <c r="CD160" s="88"/>
      <c r="CE160" s="88"/>
      <c r="CF160" s="88"/>
      <c r="CG160" s="88"/>
      <c r="CH160" s="88"/>
      <c r="CI160" s="88"/>
      <c r="CJ160" s="88"/>
      <c r="CK160" s="88"/>
      <c r="CL160" s="88"/>
      <c r="CM160" s="88"/>
      <c r="CN160" s="88"/>
      <c r="CO160" s="88"/>
      <c r="CP160" s="88"/>
      <c r="CQ160" s="88"/>
      <c r="CR160" s="88"/>
      <c r="CS160" s="88"/>
      <c r="CT160" s="88"/>
      <c r="CU160" s="88"/>
    </row>
    <row r="161" spans="1:99">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88"/>
      <c r="BZ161" s="88"/>
      <c r="CA161" s="88"/>
      <c r="CB161" s="88"/>
      <c r="CC161" s="88"/>
      <c r="CD161" s="88"/>
      <c r="CE161" s="88"/>
      <c r="CF161" s="88"/>
      <c r="CG161" s="88"/>
      <c r="CH161" s="88"/>
      <c r="CI161" s="88"/>
      <c r="CJ161" s="88"/>
      <c r="CK161" s="88"/>
      <c r="CL161" s="88"/>
      <c r="CM161" s="88"/>
      <c r="CN161" s="88"/>
      <c r="CO161" s="88"/>
      <c r="CP161" s="88"/>
      <c r="CQ161" s="88"/>
      <c r="CR161" s="88"/>
      <c r="CS161" s="88"/>
      <c r="CT161" s="88"/>
      <c r="CU161" s="88"/>
    </row>
    <row r="162" spans="1:99">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88"/>
      <c r="BZ162" s="88"/>
      <c r="CA162" s="88"/>
      <c r="CB162" s="88"/>
      <c r="CC162" s="88"/>
      <c r="CD162" s="88"/>
      <c r="CE162" s="88"/>
      <c r="CF162" s="88"/>
      <c r="CG162" s="88"/>
      <c r="CH162" s="88"/>
      <c r="CI162" s="88"/>
      <c r="CJ162" s="88"/>
      <c r="CK162" s="88"/>
      <c r="CL162" s="88"/>
      <c r="CM162" s="88"/>
      <c r="CN162" s="88"/>
      <c r="CO162" s="88"/>
      <c r="CP162" s="88"/>
      <c r="CQ162" s="88"/>
      <c r="CR162" s="88"/>
      <c r="CS162" s="88"/>
      <c r="CT162" s="88"/>
      <c r="CU162" s="88"/>
    </row>
    <row r="163" spans="1:99">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88"/>
      <c r="BZ163" s="88"/>
      <c r="CA163" s="88"/>
      <c r="CB163" s="88"/>
      <c r="CC163" s="88"/>
      <c r="CD163" s="88"/>
      <c r="CE163" s="88"/>
      <c r="CF163" s="88"/>
      <c r="CG163" s="88"/>
      <c r="CH163" s="88"/>
      <c r="CI163" s="88"/>
      <c r="CJ163" s="88"/>
      <c r="CK163" s="88"/>
      <c r="CL163" s="88"/>
      <c r="CM163" s="88"/>
      <c r="CN163" s="88"/>
      <c r="CO163" s="88"/>
      <c r="CP163" s="88"/>
      <c r="CQ163" s="88"/>
      <c r="CR163" s="88"/>
      <c r="CS163" s="88"/>
      <c r="CT163" s="88"/>
      <c r="CU163" s="88"/>
    </row>
    <row r="164" spans="1:99">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88"/>
      <c r="BZ164" s="88"/>
      <c r="CA164" s="88"/>
      <c r="CB164" s="88"/>
      <c r="CC164" s="88"/>
      <c r="CD164" s="88"/>
      <c r="CE164" s="88"/>
      <c r="CF164" s="88"/>
      <c r="CG164" s="88"/>
      <c r="CH164" s="88"/>
      <c r="CI164" s="88"/>
      <c r="CJ164" s="88"/>
      <c r="CK164" s="88"/>
      <c r="CL164" s="88"/>
      <c r="CM164" s="88"/>
      <c r="CN164" s="88"/>
      <c r="CO164" s="88"/>
      <c r="CP164" s="88"/>
      <c r="CQ164" s="88"/>
      <c r="CR164" s="88"/>
      <c r="CS164" s="88"/>
      <c r="CT164" s="88"/>
      <c r="CU164" s="88"/>
    </row>
    <row r="165" spans="1:99">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88"/>
      <c r="BZ165" s="88"/>
      <c r="CA165" s="88"/>
      <c r="CB165" s="88"/>
      <c r="CC165" s="88"/>
      <c r="CD165" s="88"/>
      <c r="CE165" s="88"/>
      <c r="CF165" s="88"/>
      <c r="CG165" s="88"/>
      <c r="CH165" s="88"/>
      <c r="CI165" s="88"/>
      <c r="CJ165" s="88"/>
      <c r="CK165" s="88"/>
      <c r="CL165" s="88"/>
      <c r="CM165" s="88"/>
      <c r="CN165" s="88"/>
      <c r="CO165" s="88"/>
      <c r="CP165" s="88"/>
      <c r="CQ165" s="88"/>
      <c r="CR165" s="88"/>
      <c r="CS165" s="88"/>
      <c r="CT165" s="88"/>
      <c r="CU165" s="88"/>
    </row>
    <row r="166" spans="1:99">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88"/>
      <c r="BZ166" s="88"/>
      <c r="CA166" s="88"/>
      <c r="CB166" s="88"/>
      <c r="CC166" s="88"/>
      <c r="CD166" s="88"/>
      <c r="CE166" s="88"/>
      <c r="CF166" s="88"/>
      <c r="CG166" s="88"/>
      <c r="CH166" s="88"/>
      <c r="CI166" s="88"/>
      <c r="CJ166" s="88"/>
      <c r="CK166" s="88"/>
      <c r="CL166" s="88"/>
      <c r="CM166" s="88"/>
      <c r="CN166" s="88"/>
      <c r="CO166" s="88"/>
      <c r="CP166" s="88"/>
      <c r="CQ166" s="88"/>
      <c r="CR166" s="88"/>
      <c r="CS166" s="88"/>
      <c r="CT166" s="88"/>
      <c r="CU166" s="88"/>
    </row>
    <row r="167" spans="1:99">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88"/>
      <c r="BZ167" s="88"/>
      <c r="CA167" s="88"/>
      <c r="CB167" s="88"/>
      <c r="CC167" s="88"/>
      <c r="CD167" s="88"/>
      <c r="CE167" s="88"/>
      <c r="CF167" s="88"/>
      <c r="CG167" s="88"/>
      <c r="CH167" s="88"/>
      <c r="CI167" s="88"/>
      <c r="CJ167" s="88"/>
      <c r="CK167" s="88"/>
      <c r="CL167" s="88"/>
      <c r="CM167" s="88"/>
      <c r="CN167" s="88"/>
      <c r="CO167" s="88"/>
      <c r="CP167" s="88"/>
      <c r="CQ167" s="88"/>
      <c r="CR167" s="88"/>
      <c r="CS167" s="88"/>
      <c r="CT167" s="88"/>
      <c r="CU167" s="88"/>
    </row>
    <row r="168" spans="1:99">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88"/>
      <c r="BZ168" s="88"/>
      <c r="CA168" s="88"/>
      <c r="CB168" s="88"/>
      <c r="CC168" s="88"/>
      <c r="CD168" s="88"/>
      <c r="CE168" s="88"/>
      <c r="CF168" s="88"/>
      <c r="CG168" s="88"/>
      <c r="CH168" s="88"/>
      <c r="CI168" s="88"/>
      <c r="CJ168" s="88"/>
      <c r="CK168" s="88"/>
      <c r="CL168" s="88"/>
      <c r="CM168" s="88"/>
      <c r="CN168" s="88"/>
      <c r="CO168" s="88"/>
      <c r="CP168" s="88"/>
      <c r="CQ168" s="88"/>
      <c r="CR168" s="88"/>
      <c r="CS168" s="88"/>
      <c r="CT168" s="88"/>
      <c r="CU168" s="88"/>
    </row>
    <row r="169" spans="1:99">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8"/>
      <c r="CO169" s="88"/>
      <c r="CP169" s="88"/>
      <c r="CQ169" s="88"/>
      <c r="CR169" s="88"/>
      <c r="CS169" s="88"/>
      <c r="CT169" s="88"/>
      <c r="CU169" s="88"/>
    </row>
    <row r="170" spans="1:99">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88"/>
      <c r="BZ170" s="88"/>
      <c r="CA170" s="88"/>
      <c r="CB170" s="88"/>
      <c r="CC170" s="88"/>
      <c r="CD170" s="88"/>
      <c r="CE170" s="88"/>
      <c r="CF170" s="88"/>
      <c r="CG170" s="88"/>
      <c r="CH170" s="88"/>
      <c r="CI170" s="88"/>
      <c r="CJ170" s="88"/>
      <c r="CK170" s="88"/>
      <c r="CL170" s="88"/>
      <c r="CM170" s="88"/>
      <c r="CN170" s="88"/>
      <c r="CO170" s="88"/>
      <c r="CP170" s="88"/>
      <c r="CQ170" s="88"/>
      <c r="CR170" s="88"/>
      <c r="CS170" s="88"/>
      <c r="CT170" s="88"/>
      <c r="CU170" s="88"/>
    </row>
    <row r="171" spans="1:99">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88"/>
      <c r="BZ171" s="88"/>
      <c r="CA171" s="88"/>
      <c r="CB171" s="88"/>
      <c r="CC171" s="88"/>
      <c r="CD171" s="88"/>
      <c r="CE171" s="88"/>
      <c r="CF171" s="88"/>
      <c r="CG171" s="88"/>
      <c r="CH171" s="88"/>
      <c r="CI171" s="88"/>
      <c r="CJ171" s="88"/>
      <c r="CK171" s="88"/>
      <c r="CL171" s="88"/>
      <c r="CM171" s="88"/>
      <c r="CN171" s="88"/>
      <c r="CO171" s="88"/>
      <c r="CP171" s="88"/>
      <c r="CQ171" s="88"/>
      <c r="CR171" s="88"/>
      <c r="CS171" s="88"/>
      <c r="CT171" s="88"/>
      <c r="CU171" s="88"/>
    </row>
    <row r="172" spans="1:99">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88"/>
      <c r="BZ172" s="88"/>
      <c r="CA172" s="88"/>
      <c r="CB172" s="88"/>
      <c r="CC172" s="88"/>
      <c r="CD172" s="88"/>
      <c r="CE172" s="88"/>
      <c r="CF172" s="88"/>
      <c r="CG172" s="88"/>
      <c r="CH172" s="88"/>
      <c r="CI172" s="88"/>
      <c r="CJ172" s="88"/>
      <c r="CK172" s="88"/>
      <c r="CL172" s="88"/>
      <c r="CM172" s="88"/>
      <c r="CN172" s="88"/>
      <c r="CO172" s="88"/>
      <c r="CP172" s="88"/>
      <c r="CQ172" s="88"/>
      <c r="CR172" s="88"/>
      <c r="CS172" s="88"/>
      <c r="CT172" s="88"/>
      <c r="CU172" s="88"/>
    </row>
    <row r="173" spans="1:99">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88"/>
      <c r="BZ173" s="88"/>
      <c r="CA173" s="88"/>
      <c r="CB173" s="88"/>
      <c r="CC173" s="88"/>
      <c r="CD173" s="88"/>
      <c r="CE173" s="88"/>
      <c r="CF173" s="88"/>
      <c r="CG173" s="88"/>
      <c r="CH173" s="88"/>
      <c r="CI173" s="88"/>
      <c r="CJ173" s="88"/>
      <c r="CK173" s="88"/>
      <c r="CL173" s="88"/>
      <c r="CM173" s="88"/>
      <c r="CN173" s="88"/>
      <c r="CO173" s="88"/>
      <c r="CP173" s="88"/>
      <c r="CQ173" s="88"/>
      <c r="CR173" s="88"/>
      <c r="CS173" s="88"/>
      <c r="CT173" s="88"/>
      <c r="CU173" s="88"/>
    </row>
    <row r="174" spans="1:99">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88"/>
      <c r="BZ174" s="88"/>
      <c r="CA174" s="88"/>
      <c r="CB174" s="88"/>
      <c r="CC174" s="88"/>
      <c r="CD174" s="88"/>
      <c r="CE174" s="88"/>
      <c r="CF174" s="88"/>
      <c r="CG174" s="88"/>
      <c r="CH174" s="88"/>
      <c r="CI174" s="88"/>
      <c r="CJ174" s="88"/>
      <c r="CK174" s="88"/>
      <c r="CL174" s="88"/>
      <c r="CM174" s="88"/>
      <c r="CN174" s="88"/>
      <c r="CO174" s="88"/>
      <c r="CP174" s="88"/>
      <c r="CQ174" s="88"/>
      <c r="CR174" s="88"/>
      <c r="CS174" s="88"/>
      <c r="CT174" s="88"/>
      <c r="CU174" s="88"/>
    </row>
    <row r="175" spans="1:99">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88"/>
      <c r="BZ175" s="88"/>
      <c r="CA175" s="88"/>
      <c r="CB175" s="88"/>
      <c r="CC175" s="88"/>
      <c r="CD175" s="88"/>
      <c r="CE175" s="88"/>
      <c r="CF175" s="88"/>
      <c r="CG175" s="88"/>
      <c r="CH175" s="88"/>
      <c r="CI175" s="88"/>
      <c r="CJ175" s="88"/>
      <c r="CK175" s="88"/>
      <c r="CL175" s="88"/>
      <c r="CM175" s="88"/>
      <c r="CN175" s="88"/>
      <c r="CO175" s="88"/>
      <c r="CP175" s="88"/>
      <c r="CQ175" s="88"/>
      <c r="CR175" s="88"/>
      <c r="CS175" s="88"/>
      <c r="CT175" s="88"/>
      <c r="CU175" s="88"/>
    </row>
    <row r="176" spans="1:99">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88"/>
      <c r="BZ176" s="88"/>
      <c r="CA176" s="88"/>
      <c r="CB176" s="88"/>
      <c r="CC176" s="88"/>
      <c r="CD176" s="88"/>
      <c r="CE176" s="88"/>
      <c r="CF176" s="88"/>
      <c r="CG176" s="88"/>
      <c r="CH176" s="88"/>
      <c r="CI176" s="88"/>
      <c r="CJ176" s="88"/>
      <c r="CK176" s="88"/>
      <c r="CL176" s="88"/>
      <c r="CM176" s="88"/>
      <c r="CN176" s="88"/>
      <c r="CO176" s="88"/>
      <c r="CP176" s="88"/>
      <c r="CQ176" s="88"/>
      <c r="CR176" s="88"/>
      <c r="CS176" s="88"/>
      <c r="CT176" s="88"/>
      <c r="CU176" s="88"/>
    </row>
    <row r="177" spans="1:99">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88"/>
      <c r="BZ177" s="88"/>
      <c r="CA177" s="88"/>
      <c r="CB177" s="88"/>
      <c r="CC177" s="88"/>
      <c r="CD177" s="88"/>
      <c r="CE177" s="88"/>
      <c r="CF177" s="88"/>
      <c r="CG177" s="88"/>
      <c r="CH177" s="88"/>
      <c r="CI177" s="88"/>
      <c r="CJ177" s="88"/>
      <c r="CK177" s="88"/>
      <c r="CL177" s="88"/>
      <c r="CM177" s="88"/>
      <c r="CN177" s="88"/>
      <c r="CO177" s="88"/>
      <c r="CP177" s="88"/>
      <c r="CQ177" s="88"/>
      <c r="CR177" s="88"/>
      <c r="CS177" s="88"/>
      <c r="CT177" s="88"/>
      <c r="CU177" s="88"/>
    </row>
    <row r="178" spans="1:99">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88"/>
      <c r="BZ178" s="88"/>
      <c r="CA178" s="88"/>
      <c r="CB178" s="88"/>
      <c r="CC178" s="88"/>
      <c r="CD178" s="88"/>
      <c r="CE178" s="88"/>
      <c r="CF178" s="88"/>
      <c r="CG178" s="88"/>
      <c r="CH178" s="88"/>
      <c r="CI178" s="88"/>
      <c r="CJ178" s="88"/>
      <c r="CK178" s="88"/>
      <c r="CL178" s="88"/>
      <c r="CM178" s="88"/>
      <c r="CN178" s="88"/>
      <c r="CO178" s="88"/>
      <c r="CP178" s="88"/>
      <c r="CQ178" s="88"/>
      <c r="CR178" s="88"/>
      <c r="CS178" s="88"/>
      <c r="CT178" s="88"/>
      <c r="CU178" s="88"/>
    </row>
    <row r="179" spans="1:99">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88"/>
      <c r="BZ179" s="88"/>
      <c r="CA179" s="88"/>
      <c r="CB179" s="88"/>
      <c r="CC179" s="88"/>
      <c r="CD179" s="88"/>
      <c r="CE179" s="88"/>
      <c r="CF179" s="88"/>
      <c r="CG179" s="88"/>
      <c r="CH179" s="88"/>
      <c r="CI179" s="88"/>
      <c r="CJ179" s="88"/>
      <c r="CK179" s="88"/>
      <c r="CL179" s="88"/>
      <c r="CM179" s="88"/>
      <c r="CN179" s="88"/>
      <c r="CO179" s="88"/>
      <c r="CP179" s="88"/>
      <c r="CQ179" s="88"/>
      <c r="CR179" s="88"/>
      <c r="CS179" s="88"/>
      <c r="CT179" s="88"/>
      <c r="CU179" s="88"/>
    </row>
    <row r="180" spans="1:99">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88"/>
      <c r="BZ180" s="88"/>
      <c r="CA180" s="88"/>
      <c r="CB180" s="88"/>
      <c r="CC180" s="88"/>
      <c r="CD180" s="88"/>
      <c r="CE180" s="88"/>
      <c r="CF180" s="88"/>
      <c r="CG180" s="88"/>
      <c r="CH180" s="88"/>
      <c r="CI180" s="88"/>
      <c r="CJ180" s="88"/>
      <c r="CK180" s="88"/>
      <c r="CL180" s="88"/>
      <c r="CM180" s="88"/>
      <c r="CN180" s="88"/>
      <c r="CO180" s="88"/>
      <c r="CP180" s="88"/>
      <c r="CQ180" s="88"/>
      <c r="CR180" s="88"/>
      <c r="CS180" s="88"/>
      <c r="CT180" s="88"/>
      <c r="CU180" s="88"/>
    </row>
    <row r="181" spans="1:99">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88"/>
      <c r="BZ181" s="88"/>
      <c r="CA181" s="88"/>
      <c r="CB181" s="88"/>
      <c r="CC181" s="88"/>
      <c r="CD181" s="88"/>
      <c r="CE181" s="88"/>
      <c r="CF181" s="88"/>
      <c r="CG181" s="88"/>
      <c r="CH181" s="88"/>
      <c r="CI181" s="88"/>
      <c r="CJ181" s="88"/>
      <c r="CK181" s="88"/>
      <c r="CL181" s="88"/>
      <c r="CM181" s="88"/>
      <c r="CN181" s="88"/>
      <c r="CO181" s="88"/>
      <c r="CP181" s="88"/>
      <c r="CQ181" s="88"/>
      <c r="CR181" s="88"/>
      <c r="CS181" s="88"/>
      <c r="CT181" s="88"/>
      <c r="CU181" s="88"/>
    </row>
    <row r="182" spans="1:99">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row>
    <row r="183" spans="1:99">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88"/>
      <c r="BZ183" s="88"/>
      <c r="CA183" s="88"/>
      <c r="CB183" s="88"/>
      <c r="CC183" s="88"/>
      <c r="CD183" s="88"/>
      <c r="CE183" s="88"/>
      <c r="CF183" s="88"/>
      <c r="CG183" s="88"/>
      <c r="CH183" s="88"/>
      <c r="CI183" s="88"/>
      <c r="CJ183" s="88"/>
      <c r="CK183" s="88"/>
      <c r="CL183" s="88"/>
      <c r="CM183" s="88"/>
      <c r="CN183" s="88"/>
      <c r="CO183" s="88"/>
      <c r="CP183" s="88"/>
      <c r="CQ183" s="88"/>
      <c r="CR183" s="88"/>
      <c r="CS183" s="88"/>
      <c r="CT183" s="88"/>
      <c r="CU183" s="88"/>
    </row>
    <row r="184" spans="1:99">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88"/>
      <c r="BZ184" s="88"/>
      <c r="CA184" s="88"/>
      <c r="CB184" s="88"/>
      <c r="CC184" s="88"/>
      <c r="CD184" s="88"/>
      <c r="CE184" s="88"/>
      <c r="CF184" s="88"/>
      <c r="CG184" s="88"/>
      <c r="CH184" s="88"/>
      <c r="CI184" s="88"/>
      <c r="CJ184" s="88"/>
      <c r="CK184" s="88"/>
      <c r="CL184" s="88"/>
      <c r="CM184" s="88"/>
      <c r="CN184" s="88"/>
      <c r="CO184" s="88"/>
      <c r="CP184" s="88"/>
      <c r="CQ184" s="88"/>
      <c r="CR184" s="88"/>
      <c r="CS184" s="88"/>
      <c r="CT184" s="88"/>
      <c r="CU184" s="88"/>
    </row>
    <row r="185" spans="1:99">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88"/>
      <c r="BZ185" s="88"/>
      <c r="CA185" s="88"/>
      <c r="CB185" s="88"/>
      <c r="CC185" s="88"/>
      <c r="CD185" s="88"/>
      <c r="CE185" s="88"/>
      <c r="CF185" s="88"/>
      <c r="CG185" s="88"/>
      <c r="CH185" s="88"/>
      <c r="CI185" s="88"/>
      <c r="CJ185" s="88"/>
      <c r="CK185" s="88"/>
      <c r="CL185" s="88"/>
      <c r="CM185" s="88"/>
      <c r="CN185" s="88"/>
      <c r="CO185" s="88"/>
      <c r="CP185" s="88"/>
      <c r="CQ185" s="88"/>
      <c r="CR185" s="88"/>
      <c r="CS185" s="88"/>
      <c r="CT185" s="88"/>
      <c r="CU185" s="88"/>
    </row>
    <row r="186" spans="1:99">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88"/>
      <c r="BZ186" s="88"/>
      <c r="CA186" s="88"/>
      <c r="CB186" s="88"/>
      <c r="CC186" s="88"/>
      <c r="CD186" s="88"/>
      <c r="CE186" s="88"/>
      <c r="CF186" s="88"/>
      <c r="CG186" s="88"/>
      <c r="CH186" s="88"/>
      <c r="CI186" s="88"/>
      <c r="CJ186" s="88"/>
      <c r="CK186" s="88"/>
      <c r="CL186" s="88"/>
      <c r="CM186" s="88"/>
      <c r="CN186" s="88"/>
      <c r="CO186" s="88"/>
      <c r="CP186" s="88"/>
      <c r="CQ186" s="88"/>
      <c r="CR186" s="88"/>
      <c r="CS186" s="88"/>
      <c r="CT186" s="88"/>
      <c r="CU186" s="88"/>
    </row>
    <row r="187" spans="1:99">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88"/>
      <c r="BZ187" s="88"/>
      <c r="CA187" s="88"/>
      <c r="CB187" s="88"/>
      <c r="CC187" s="88"/>
      <c r="CD187" s="88"/>
      <c r="CE187" s="88"/>
      <c r="CF187" s="88"/>
      <c r="CG187" s="88"/>
      <c r="CH187" s="88"/>
      <c r="CI187" s="88"/>
      <c r="CJ187" s="88"/>
      <c r="CK187" s="88"/>
      <c r="CL187" s="88"/>
      <c r="CM187" s="88"/>
      <c r="CN187" s="88"/>
      <c r="CO187" s="88"/>
      <c r="CP187" s="88"/>
      <c r="CQ187" s="88"/>
      <c r="CR187" s="88"/>
      <c r="CS187" s="88"/>
      <c r="CT187" s="88"/>
      <c r="CU187" s="88"/>
    </row>
    <row r="188" spans="1:99">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88"/>
      <c r="BZ188" s="88"/>
      <c r="CA188" s="88"/>
      <c r="CB188" s="88"/>
      <c r="CC188" s="88"/>
      <c r="CD188" s="88"/>
      <c r="CE188" s="88"/>
      <c r="CF188" s="88"/>
      <c r="CG188" s="88"/>
      <c r="CH188" s="88"/>
      <c r="CI188" s="88"/>
      <c r="CJ188" s="88"/>
      <c r="CK188" s="88"/>
      <c r="CL188" s="88"/>
      <c r="CM188" s="88"/>
      <c r="CN188" s="88"/>
      <c r="CO188" s="88"/>
      <c r="CP188" s="88"/>
      <c r="CQ188" s="88"/>
      <c r="CR188" s="88"/>
      <c r="CS188" s="88"/>
      <c r="CT188" s="88"/>
      <c r="CU188" s="88"/>
    </row>
    <row r="189" spans="1:99">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88"/>
      <c r="BZ189" s="88"/>
      <c r="CA189" s="88"/>
      <c r="CB189" s="88"/>
      <c r="CC189" s="88"/>
      <c r="CD189" s="88"/>
      <c r="CE189" s="88"/>
      <c r="CF189" s="88"/>
      <c r="CG189" s="88"/>
      <c r="CH189" s="88"/>
      <c r="CI189" s="88"/>
      <c r="CJ189" s="88"/>
      <c r="CK189" s="88"/>
      <c r="CL189" s="88"/>
      <c r="CM189" s="88"/>
      <c r="CN189" s="88"/>
      <c r="CO189" s="88"/>
      <c r="CP189" s="88"/>
      <c r="CQ189" s="88"/>
      <c r="CR189" s="88"/>
      <c r="CS189" s="88"/>
      <c r="CT189" s="88"/>
      <c r="CU189" s="88"/>
    </row>
    <row r="190" spans="1:99">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88"/>
      <c r="BZ190" s="88"/>
      <c r="CA190" s="88"/>
      <c r="CB190" s="88"/>
      <c r="CC190" s="88"/>
      <c r="CD190" s="88"/>
      <c r="CE190" s="88"/>
      <c r="CF190" s="88"/>
      <c r="CG190" s="88"/>
      <c r="CH190" s="88"/>
      <c r="CI190" s="88"/>
      <c r="CJ190" s="88"/>
      <c r="CK190" s="88"/>
      <c r="CL190" s="88"/>
      <c r="CM190" s="88"/>
      <c r="CN190" s="88"/>
      <c r="CO190" s="88"/>
      <c r="CP190" s="88"/>
      <c r="CQ190" s="88"/>
      <c r="CR190" s="88"/>
      <c r="CS190" s="88"/>
      <c r="CT190" s="88"/>
      <c r="CU190" s="88"/>
    </row>
    <row r="191" spans="1:99">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88"/>
      <c r="BZ191" s="88"/>
      <c r="CA191" s="88"/>
      <c r="CB191" s="88"/>
      <c r="CC191" s="88"/>
      <c r="CD191" s="88"/>
      <c r="CE191" s="88"/>
      <c r="CF191" s="88"/>
      <c r="CG191" s="88"/>
      <c r="CH191" s="88"/>
      <c r="CI191" s="88"/>
      <c r="CJ191" s="88"/>
      <c r="CK191" s="88"/>
      <c r="CL191" s="88"/>
      <c r="CM191" s="88"/>
      <c r="CN191" s="88"/>
      <c r="CO191" s="88"/>
      <c r="CP191" s="88"/>
      <c r="CQ191" s="88"/>
      <c r="CR191" s="88"/>
      <c r="CS191" s="88"/>
      <c r="CT191" s="88"/>
      <c r="CU191" s="88"/>
    </row>
    <row r="192" spans="1:99">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88"/>
      <c r="BZ192" s="88"/>
      <c r="CA192" s="88"/>
      <c r="CB192" s="88"/>
      <c r="CC192" s="88"/>
      <c r="CD192" s="88"/>
      <c r="CE192" s="88"/>
      <c r="CF192" s="88"/>
      <c r="CG192" s="88"/>
      <c r="CH192" s="88"/>
      <c r="CI192" s="88"/>
      <c r="CJ192" s="88"/>
      <c r="CK192" s="88"/>
      <c r="CL192" s="88"/>
      <c r="CM192" s="88"/>
      <c r="CN192" s="88"/>
      <c r="CO192" s="88"/>
      <c r="CP192" s="88"/>
      <c r="CQ192" s="88"/>
      <c r="CR192" s="88"/>
      <c r="CS192" s="88"/>
      <c r="CT192" s="88"/>
      <c r="CU192" s="88"/>
    </row>
    <row r="193" spans="1:99">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row>
    <row r="194" spans="1:99">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row>
    <row r="195" spans="1:99">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row>
    <row r="196" spans="1:99">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row>
    <row r="197" spans="1:99">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88"/>
      <c r="BZ197" s="88"/>
      <c r="CA197" s="88"/>
      <c r="CB197" s="88"/>
      <c r="CC197" s="88"/>
      <c r="CD197" s="88"/>
      <c r="CE197" s="88"/>
      <c r="CF197" s="88"/>
      <c r="CG197" s="88"/>
      <c r="CH197" s="88"/>
      <c r="CI197" s="88"/>
      <c r="CJ197" s="88"/>
      <c r="CK197" s="88"/>
      <c r="CL197" s="88"/>
      <c r="CM197" s="88"/>
      <c r="CN197" s="88"/>
      <c r="CO197" s="88"/>
      <c r="CP197" s="88"/>
      <c r="CQ197" s="88"/>
      <c r="CR197" s="88"/>
      <c r="CS197" s="88"/>
      <c r="CT197" s="88"/>
      <c r="CU197" s="88"/>
    </row>
    <row r="198" spans="1:99">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88"/>
      <c r="BZ198" s="88"/>
      <c r="CA198" s="88"/>
      <c r="CB198" s="88"/>
      <c r="CC198" s="88"/>
      <c r="CD198" s="88"/>
      <c r="CE198" s="88"/>
      <c r="CF198" s="88"/>
      <c r="CG198" s="88"/>
      <c r="CH198" s="88"/>
      <c r="CI198" s="88"/>
      <c r="CJ198" s="88"/>
      <c r="CK198" s="88"/>
      <c r="CL198" s="88"/>
      <c r="CM198" s="88"/>
      <c r="CN198" s="88"/>
      <c r="CO198" s="88"/>
      <c r="CP198" s="88"/>
      <c r="CQ198" s="88"/>
      <c r="CR198" s="88"/>
      <c r="CS198" s="88"/>
      <c r="CT198" s="88"/>
      <c r="CU198" s="88"/>
    </row>
    <row r="199" spans="1:99">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88"/>
      <c r="BZ199" s="88"/>
      <c r="CA199" s="88"/>
      <c r="CB199" s="88"/>
      <c r="CC199" s="88"/>
      <c r="CD199" s="88"/>
      <c r="CE199" s="88"/>
      <c r="CF199" s="88"/>
      <c r="CG199" s="88"/>
      <c r="CH199" s="88"/>
      <c r="CI199" s="88"/>
      <c r="CJ199" s="88"/>
      <c r="CK199" s="88"/>
      <c r="CL199" s="88"/>
      <c r="CM199" s="88"/>
      <c r="CN199" s="88"/>
      <c r="CO199" s="88"/>
      <c r="CP199" s="88"/>
      <c r="CQ199" s="88"/>
      <c r="CR199" s="88"/>
      <c r="CS199" s="88"/>
      <c r="CT199" s="88"/>
      <c r="CU199" s="88"/>
    </row>
    <row r="200" spans="1:99">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88"/>
      <c r="BZ200" s="88"/>
      <c r="CA200" s="88"/>
      <c r="CB200" s="88"/>
      <c r="CC200" s="88"/>
      <c r="CD200" s="88"/>
      <c r="CE200" s="88"/>
      <c r="CF200" s="88"/>
      <c r="CG200" s="88"/>
      <c r="CH200" s="88"/>
      <c r="CI200" s="88"/>
      <c r="CJ200" s="88"/>
      <c r="CK200" s="88"/>
      <c r="CL200" s="88"/>
      <c r="CM200" s="88"/>
      <c r="CN200" s="88"/>
      <c r="CO200" s="88"/>
      <c r="CP200" s="88"/>
      <c r="CQ200" s="88"/>
      <c r="CR200" s="88"/>
      <c r="CS200" s="88"/>
      <c r="CT200" s="88"/>
      <c r="CU200" s="88"/>
    </row>
    <row r="201" spans="1:99">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88"/>
      <c r="BZ201" s="88"/>
      <c r="CA201" s="88"/>
      <c r="CB201" s="88"/>
      <c r="CC201" s="88"/>
      <c r="CD201" s="88"/>
      <c r="CE201" s="88"/>
      <c r="CF201" s="88"/>
      <c r="CG201" s="88"/>
      <c r="CH201" s="88"/>
      <c r="CI201" s="88"/>
      <c r="CJ201" s="88"/>
      <c r="CK201" s="88"/>
      <c r="CL201" s="88"/>
      <c r="CM201" s="88"/>
      <c r="CN201" s="88"/>
      <c r="CO201" s="88"/>
      <c r="CP201" s="88"/>
      <c r="CQ201" s="88"/>
      <c r="CR201" s="88"/>
      <c r="CS201" s="88"/>
      <c r="CT201" s="88"/>
      <c r="CU201" s="88"/>
    </row>
    <row r="202" spans="1:99">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88"/>
      <c r="BZ202" s="88"/>
      <c r="CA202" s="88"/>
      <c r="CB202" s="88"/>
      <c r="CC202" s="88"/>
      <c r="CD202" s="88"/>
      <c r="CE202" s="88"/>
      <c r="CF202" s="88"/>
      <c r="CG202" s="88"/>
      <c r="CH202" s="88"/>
      <c r="CI202" s="88"/>
      <c r="CJ202" s="88"/>
      <c r="CK202" s="88"/>
      <c r="CL202" s="88"/>
      <c r="CM202" s="88"/>
      <c r="CN202" s="88"/>
      <c r="CO202" s="88"/>
      <c r="CP202" s="88"/>
      <c r="CQ202" s="88"/>
      <c r="CR202" s="88"/>
      <c r="CS202" s="88"/>
      <c r="CT202" s="88"/>
      <c r="CU202" s="88"/>
    </row>
    <row r="203" spans="1:99">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88"/>
      <c r="BZ203" s="88"/>
      <c r="CA203" s="88"/>
      <c r="CB203" s="88"/>
      <c r="CC203" s="88"/>
      <c r="CD203" s="88"/>
      <c r="CE203" s="88"/>
      <c r="CF203" s="88"/>
      <c r="CG203" s="88"/>
      <c r="CH203" s="88"/>
      <c r="CI203" s="88"/>
      <c r="CJ203" s="88"/>
      <c r="CK203" s="88"/>
      <c r="CL203" s="88"/>
      <c r="CM203" s="88"/>
      <c r="CN203" s="88"/>
      <c r="CO203" s="88"/>
      <c r="CP203" s="88"/>
      <c r="CQ203" s="88"/>
      <c r="CR203" s="88"/>
      <c r="CS203" s="88"/>
      <c r="CT203" s="88"/>
      <c r="CU203" s="88"/>
    </row>
    <row r="204" spans="1:99">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88"/>
      <c r="BZ204" s="88"/>
      <c r="CA204" s="88"/>
      <c r="CB204" s="88"/>
      <c r="CC204" s="88"/>
      <c r="CD204" s="88"/>
      <c r="CE204" s="88"/>
      <c r="CF204" s="88"/>
      <c r="CG204" s="88"/>
      <c r="CH204" s="88"/>
      <c r="CI204" s="88"/>
      <c r="CJ204" s="88"/>
      <c r="CK204" s="88"/>
      <c r="CL204" s="88"/>
      <c r="CM204" s="88"/>
      <c r="CN204" s="88"/>
      <c r="CO204" s="88"/>
      <c r="CP204" s="88"/>
      <c r="CQ204" s="88"/>
      <c r="CR204" s="88"/>
      <c r="CS204" s="88"/>
      <c r="CT204" s="88"/>
      <c r="CU204" s="88"/>
    </row>
    <row r="205" spans="1:99">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88"/>
      <c r="BZ205" s="88"/>
      <c r="CA205" s="88"/>
      <c r="CB205" s="88"/>
      <c r="CC205" s="88"/>
      <c r="CD205" s="88"/>
      <c r="CE205" s="88"/>
      <c r="CF205" s="88"/>
      <c r="CG205" s="88"/>
      <c r="CH205" s="88"/>
      <c r="CI205" s="88"/>
      <c r="CJ205" s="88"/>
      <c r="CK205" s="88"/>
      <c r="CL205" s="88"/>
      <c r="CM205" s="88"/>
      <c r="CN205" s="88"/>
      <c r="CO205" s="88"/>
      <c r="CP205" s="88"/>
      <c r="CQ205" s="88"/>
      <c r="CR205" s="88"/>
      <c r="CS205" s="88"/>
      <c r="CT205" s="88"/>
      <c r="CU205" s="88"/>
    </row>
    <row r="206" spans="1:99">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88"/>
      <c r="BZ206" s="88"/>
      <c r="CA206" s="88"/>
      <c r="CB206" s="88"/>
      <c r="CC206" s="88"/>
      <c r="CD206" s="88"/>
      <c r="CE206" s="88"/>
      <c r="CF206" s="88"/>
      <c r="CG206" s="88"/>
      <c r="CH206" s="88"/>
      <c r="CI206" s="88"/>
      <c r="CJ206" s="88"/>
      <c r="CK206" s="88"/>
      <c r="CL206" s="88"/>
      <c r="CM206" s="88"/>
      <c r="CN206" s="88"/>
      <c r="CO206" s="88"/>
      <c r="CP206" s="88"/>
      <c r="CQ206" s="88"/>
      <c r="CR206" s="88"/>
      <c r="CS206" s="88"/>
      <c r="CT206" s="88"/>
      <c r="CU206" s="88"/>
    </row>
    <row r="207" spans="1:99">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88"/>
      <c r="BZ207" s="88"/>
      <c r="CA207" s="88"/>
      <c r="CB207" s="88"/>
      <c r="CC207" s="88"/>
      <c r="CD207" s="88"/>
      <c r="CE207" s="88"/>
      <c r="CF207" s="88"/>
      <c r="CG207" s="88"/>
      <c r="CH207" s="88"/>
      <c r="CI207" s="88"/>
      <c r="CJ207" s="88"/>
      <c r="CK207" s="88"/>
      <c r="CL207" s="88"/>
      <c r="CM207" s="88"/>
      <c r="CN207" s="88"/>
      <c r="CO207" s="88"/>
      <c r="CP207" s="88"/>
      <c r="CQ207" s="88"/>
      <c r="CR207" s="88"/>
      <c r="CS207" s="88"/>
      <c r="CT207" s="88"/>
      <c r="CU207" s="88"/>
    </row>
    <row r="208" spans="1:99">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88"/>
      <c r="BZ208" s="88"/>
      <c r="CA208" s="88"/>
      <c r="CB208" s="88"/>
      <c r="CC208" s="88"/>
      <c r="CD208" s="88"/>
      <c r="CE208" s="88"/>
      <c r="CF208" s="88"/>
      <c r="CG208" s="88"/>
      <c r="CH208" s="88"/>
      <c r="CI208" s="88"/>
      <c r="CJ208" s="88"/>
      <c r="CK208" s="88"/>
      <c r="CL208" s="88"/>
      <c r="CM208" s="88"/>
      <c r="CN208" s="88"/>
      <c r="CO208" s="88"/>
      <c r="CP208" s="88"/>
      <c r="CQ208" s="88"/>
      <c r="CR208" s="88"/>
      <c r="CS208" s="88"/>
      <c r="CT208" s="88"/>
      <c r="CU208" s="88"/>
    </row>
    <row r="209" spans="1:99">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88"/>
      <c r="BZ209" s="88"/>
      <c r="CA209" s="88"/>
      <c r="CB209" s="88"/>
      <c r="CC209" s="88"/>
      <c r="CD209" s="88"/>
      <c r="CE209" s="88"/>
      <c r="CF209" s="88"/>
      <c r="CG209" s="88"/>
      <c r="CH209" s="88"/>
      <c r="CI209" s="88"/>
      <c r="CJ209" s="88"/>
      <c r="CK209" s="88"/>
      <c r="CL209" s="88"/>
      <c r="CM209" s="88"/>
      <c r="CN209" s="88"/>
      <c r="CO209" s="88"/>
      <c r="CP209" s="88"/>
      <c r="CQ209" s="88"/>
      <c r="CR209" s="88"/>
      <c r="CS209" s="88"/>
      <c r="CT209" s="88"/>
      <c r="CU209" s="88"/>
    </row>
    <row r="210" spans="1:99">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88"/>
      <c r="BZ210" s="88"/>
      <c r="CA210" s="88"/>
      <c r="CB210" s="88"/>
      <c r="CC210" s="88"/>
      <c r="CD210" s="88"/>
      <c r="CE210" s="88"/>
      <c r="CF210" s="88"/>
      <c r="CG210" s="88"/>
      <c r="CH210" s="88"/>
      <c r="CI210" s="88"/>
      <c r="CJ210" s="88"/>
      <c r="CK210" s="88"/>
      <c r="CL210" s="88"/>
      <c r="CM210" s="88"/>
      <c r="CN210" s="88"/>
      <c r="CO210" s="88"/>
      <c r="CP210" s="88"/>
      <c r="CQ210" s="88"/>
      <c r="CR210" s="88"/>
      <c r="CS210" s="88"/>
      <c r="CT210" s="88"/>
      <c r="CU210" s="88"/>
    </row>
    <row r="211" spans="1:99">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88"/>
      <c r="BZ211" s="88"/>
      <c r="CA211" s="88"/>
      <c r="CB211" s="88"/>
      <c r="CC211" s="88"/>
      <c r="CD211" s="88"/>
      <c r="CE211" s="88"/>
      <c r="CF211" s="88"/>
      <c r="CG211" s="88"/>
      <c r="CH211" s="88"/>
      <c r="CI211" s="88"/>
      <c r="CJ211" s="88"/>
      <c r="CK211" s="88"/>
      <c r="CL211" s="88"/>
      <c r="CM211" s="88"/>
      <c r="CN211" s="88"/>
      <c r="CO211" s="88"/>
      <c r="CP211" s="88"/>
      <c r="CQ211" s="88"/>
      <c r="CR211" s="88"/>
      <c r="CS211" s="88"/>
      <c r="CT211" s="88"/>
      <c r="CU211" s="88"/>
    </row>
    <row r="212" spans="1:99">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88"/>
      <c r="BZ212" s="88"/>
      <c r="CA212" s="88"/>
      <c r="CB212" s="88"/>
      <c r="CC212" s="88"/>
      <c r="CD212" s="88"/>
      <c r="CE212" s="88"/>
      <c r="CF212" s="88"/>
      <c r="CG212" s="88"/>
      <c r="CH212" s="88"/>
      <c r="CI212" s="88"/>
      <c r="CJ212" s="88"/>
      <c r="CK212" s="88"/>
      <c r="CL212" s="88"/>
      <c r="CM212" s="88"/>
      <c r="CN212" s="88"/>
      <c r="CO212" s="88"/>
      <c r="CP212" s="88"/>
      <c r="CQ212" s="88"/>
      <c r="CR212" s="88"/>
      <c r="CS212" s="88"/>
      <c r="CT212" s="88"/>
      <c r="CU212" s="88"/>
    </row>
    <row r="213" spans="1:99">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88"/>
      <c r="BZ213" s="88"/>
      <c r="CA213" s="88"/>
      <c r="CB213" s="88"/>
      <c r="CC213" s="88"/>
      <c r="CD213" s="88"/>
      <c r="CE213" s="88"/>
      <c r="CF213" s="88"/>
      <c r="CG213" s="88"/>
      <c r="CH213" s="88"/>
      <c r="CI213" s="88"/>
      <c r="CJ213" s="88"/>
      <c r="CK213" s="88"/>
      <c r="CL213" s="88"/>
      <c r="CM213" s="88"/>
      <c r="CN213" s="88"/>
      <c r="CO213" s="88"/>
      <c r="CP213" s="88"/>
      <c r="CQ213" s="88"/>
      <c r="CR213" s="88"/>
      <c r="CS213" s="88"/>
      <c r="CT213" s="88"/>
      <c r="CU213" s="88"/>
    </row>
    <row r="214" spans="1:99">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88"/>
      <c r="BZ214" s="88"/>
      <c r="CA214" s="88"/>
      <c r="CB214" s="88"/>
      <c r="CC214" s="88"/>
      <c r="CD214" s="88"/>
      <c r="CE214" s="88"/>
      <c r="CF214" s="88"/>
      <c r="CG214" s="88"/>
      <c r="CH214" s="88"/>
      <c r="CI214" s="88"/>
      <c r="CJ214" s="88"/>
      <c r="CK214" s="88"/>
      <c r="CL214" s="88"/>
      <c r="CM214" s="88"/>
      <c r="CN214" s="88"/>
      <c r="CO214" s="88"/>
      <c r="CP214" s="88"/>
      <c r="CQ214" s="88"/>
      <c r="CR214" s="88"/>
      <c r="CS214" s="88"/>
      <c r="CT214" s="88"/>
      <c r="CU214" s="88"/>
    </row>
    <row r="215" spans="1:99">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88"/>
      <c r="BZ215" s="88"/>
      <c r="CA215" s="88"/>
      <c r="CB215" s="88"/>
      <c r="CC215" s="88"/>
      <c r="CD215" s="88"/>
      <c r="CE215" s="88"/>
      <c r="CF215" s="88"/>
      <c r="CG215" s="88"/>
      <c r="CH215" s="88"/>
      <c r="CI215" s="88"/>
      <c r="CJ215" s="88"/>
      <c r="CK215" s="88"/>
      <c r="CL215" s="88"/>
      <c r="CM215" s="88"/>
      <c r="CN215" s="88"/>
      <c r="CO215" s="88"/>
      <c r="CP215" s="88"/>
      <c r="CQ215" s="88"/>
      <c r="CR215" s="88"/>
      <c r="CS215" s="88"/>
      <c r="CT215" s="88"/>
      <c r="CU215" s="88"/>
    </row>
    <row r="216" spans="1:99">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88"/>
      <c r="BZ216" s="88"/>
      <c r="CA216" s="88"/>
      <c r="CB216" s="88"/>
      <c r="CC216" s="88"/>
      <c r="CD216" s="88"/>
      <c r="CE216" s="88"/>
      <c r="CF216" s="88"/>
      <c r="CG216" s="88"/>
      <c r="CH216" s="88"/>
      <c r="CI216" s="88"/>
      <c r="CJ216" s="88"/>
      <c r="CK216" s="88"/>
      <c r="CL216" s="88"/>
      <c r="CM216" s="88"/>
      <c r="CN216" s="88"/>
      <c r="CO216" s="88"/>
      <c r="CP216" s="88"/>
      <c r="CQ216" s="88"/>
      <c r="CR216" s="88"/>
      <c r="CS216" s="88"/>
      <c r="CT216" s="88"/>
      <c r="CU216" s="88"/>
    </row>
    <row r="217" spans="1:99">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88"/>
      <c r="BZ217" s="88"/>
      <c r="CA217" s="88"/>
      <c r="CB217" s="88"/>
      <c r="CC217" s="88"/>
      <c r="CD217" s="88"/>
      <c r="CE217" s="88"/>
      <c r="CF217" s="88"/>
      <c r="CG217" s="88"/>
      <c r="CH217" s="88"/>
      <c r="CI217" s="88"/>
      <c r="CJ217" s="88"/>
      <c r="CK217" s="88"/>
      <c r="CL217" s="88"/>
      <c r="CM217" s="88"/>
      <c r="CN217" s="88"/>
      <c r="CO217" s="88"/>
      <c r="CP217" s="88"/>
      <c r="CQ217" s="88"/>
      <c r="CR217" s="88"/>
      <c r="CS217" s="88"/>
      <c r="CT217" s="88"/>
      <c r="CU217" s="88"/>
    </row>
    <row r="218" spans="1:99">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88"/>
      <c r="BZ218" s="88"/>
      <c r="CA218" s="88"/>
      <c r="CB218" s="88"/>
      <c r="CC218" s="88"/>
      <c r="CD218" s="88"/>
      <c r="CE218" s="88"/>
      <c r="CF218" s="88"/>
      <c r="CG218" s="88"/>
      <c r="CH218" s="88"/>
      <c r="CI218" s="88"/>
      <c r="CJ218" s="88"/>
      <c r="CK218" s="88"/>
      <c r="CL218" s="88"/>
      <c r="CM218" s="88"/>
      <c r="CN218" s="88"/>
      <c r="CO218" s="88"/>
      <c r="CP218" s="88"/>
      <c r="CQ218" s="88"/>
      <c r="CR218" s="88"/>
      <c r="CS218" s="88"/>
      <c r="CT218" s="88"/>
      <c r="CU218" s="88"/>
    </row>
    <row r="219" spans="1:99">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88"/>
      <c r="BZ219" s="88"/>
      <c r="CA219" s="88"/>
      <c r="CB219" s="88"/>
      <c r="CC219" s="88"/>
      <c r="CD219" s="88"/>
      <c r="CE219" s="88"/>
      <c r="CF219" s="88"/>
      <c r="CG219" s="88"/>
      <c r="CH219" s="88"/>
      <c r="CI219" s="88"/>
      <c r="CJ219" s="88"/>
      <c r="CK219" s="88"/>
      <c r="CL219" s="88"/>
      <c r="CM219" s="88"/>
      <c r="CN219" s="88"/>
      <c r="CO219" s="88"/>
      <c r="CP219" s="88"/>
      <c r="CQ219" s="88"/>
      <c r="CR219" s="88"/>
      <c r="CS219" s="88"/>
      <c r="CT219" s="88"/>
      <c r="CU219" s="88"/>
    </row>
    <row r="220" spans="1:99">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88"/>
      <c r="BZ220" s="88"/>
      <c r="CA220" s="88"/>
      <c r="CB220" s="88"/>
      <c r="CC220" s="88"/>
      <c r="CD220" s="88"/>
      <c r="CE220" s="88"/>
      <c r="CF220" s="88"/>
      <c r="CG220" s="88"/>
      <c r="CH220" s="88"/>
      <c r="CI220" s="88"/>
      <c r="CJ220" s="88"/>
      <c r="CK220" s="88"/>
      <c r="CL220" s="88"/>
      <c r="CM220" s="88"/>
      <c r="CN220" s="88"/>
      <c r="CO220" s="88"/>
      <c r="CP220" s="88"/>
      <c r="CQ220" s="88"/>
      <c r="CR220" s="88"/>
      <c r="CS220" s="88"/>
      <c r="CT220" s="88"/>
      <c r="CU220" s="88"/>
    </row>
    <row r="221" spans="1:99">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88"/>
      <c r="BZ221" s="88"/>
      <c r="CA221" s="88"/>
      <c r="CB221" s="88"/>
      <c r="CC221" s="88"/>
      <c r="CD221" s="88"/>
      <c r="CE221" s="88"/>
      <c r="CF221" s="88"/>
      <c r="CG221" s="88"/>
      <c r="CH221" s="88"/>
      <c r="CI221" s="88"/>
      <c r="CJ221" s="88"/>
      <c r="CK221" s="88"/>
      <c r="CL221" s="88"/>
      <c r="CM221" s="88"/>
      <c r="CN221" s="88"/>
      <c r="CO221" s="88"/>
      <c r="CP221" s="88"/>
      <c r="CQ221" s="88"/>
      <c r="CR221" s="88"/>
      <c r="CS221" s="88"/>
      <c r="CT221" s="88"/>
      <c r="CU221" s="88"/>
    </row>
    <row r="222" spans="1:99">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88"/>
      <c r="BZ222" s="88"/>
      <c r="CA222" s="88"/>
      <c r="CB222" s="88"/>
      <c r="CC222" s="88"/>
      <c r="CD222" s="88"/>
      <c r="CE222" s="88"/>
      <c r="CF222" s="88"/>
      <c r="CG222" s="88"/>
      <c r="CH222" s="88"/>
      <c r="CI222" s="88"/>
      <c r="CJ222" s="88"/>
      <c r="CK222" s="88"/>
      <c r="CL222" s="88"/>
      <c r="CM222" s="88"/>
      <c r="CN222" s="88"/>
      <c r="CO222" s="88"/>
      <c r="CP222" s="88"/>
      <c r="CQ222" s="88"/>
      <c r="CR222" s="88"/>
      <c r="CS222" s="88"/>
      <c r="CT222" s="88"/>
      <c r="CU222" s="88"/>
    </row>
    <row r="223" spans="1:99">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88"/>
      <c r="BZ223" s="88"/>
      <c r="CA223" s="88"/>
      <c r="CB223" s="88"/>
      <c r="CC223" s="88"/>
      <c r="CD223" s="88"/>
      <c r="CE223" s="88"/>
      <c r="CF223" s="88"/>
      <c r="CG223" s="88"/>
      <c r="CH223" s="88"/>
      <c r="CI223" s="88"/>
      <c r="CJ223" s="88"/>
      <c r="CK223" s="88"/>
      <c r="CL223" s="88"/>
      <c r="CM223" s="88"/>
      <c r="CN223" s="88"/>
      <c r="CO223" s="88"/>
      <c r="CP223" s="88"/>
      <c r="CQ223" s="88"/>
      <c r="CR223" s="88"/>
      <c r="CS223" s="88"/>
      <c r="CT223" s="88"/>
      <c r="CU223" s="88"/>
    </row>
    <row r="224" spans="1:99">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88"/>
      <c r="BZ224" s="88"/>
      <c r="CA224" s="88"/>
      <c r="CB224" s="88"/>
      <c r="CC224" s="88"/>
      <c r="CD224" s="88"/>
      <c r="CE224" s="88"/>
      <c r="CF224" s="88"/>
      <c r="CG224" s="88"/>
      <c r="CH224" s="88"/>
      <c r="CI224" s="88"/>
      <c r="CJ224" s="88"/>
      <c r="CK224" s="88"/>
      <c r="CL224" s="88"/>
      <c r="CM224" s="88"/>
      <c r="CN224" s="88"/>
      <c r="CO224" s="88"/>
      <c r="CP224" s="88"/>
      <c r="CQ224" s="88"/>
      <c r="CR224" s="88"/>
      <c r="CS224" s="88"/>
      <c r="CT224" s="88"/>
      <c r="CU224" s="88"/>
    </row>
    <row r="225" spans="1:99">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88"/>
      <c r="BZ225" s="88"/>
      <c r="CA225" s="88"/>
      <c r="CB225" s="88"/>
      <c r="CC225" s="88"/>
      <c r="CD225" s="88"/>
      <c r="CE225" s="88"/>
      <c r="CF225" s="88"/>
      <c r="CG225" s="88"/>
      <c r="CH225" s="88"/>
      <c r="CI225" s="88"/>
      <c r="CJ225" s="88"/>
      <c r="CK225" s="88"/>
      <c r="CL225" s="88"/>
      <c r="CM225" s="88"/>
      <c r="CN225" s="88"/>
      <c r="CO225" s="88"/>
      <c r="CP225" s="88"/>
      <c r="CQ225" s="88"/>
      <c r="CR225" s="88"/>
      <c r="CS225" s="88"/>
      <c r="CT225" s="88"/>
      <c r="CU225" s="88"/>
    </row>
    <row r="226" spans="1:99">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88"/>
      <c r="BZ226" s="88"/>
      <c r="CA226" s="88"/>
      <c r="CB226" s="88"/>
      <c r="CC226" s="88"/>
      <c r="CD226" s="88"/>
      <c r="CE226" s="88"/>
      <c r="CF226" s="88"/>
      <c r="CG226" s="88"/>
      <c r="CH226" s="88"/>
      <c r="CI226" s="88"/>
      <c r="CJ226" s="88"/>
      <c r="CK226" s="88"/>
      <c r="CL226" s="88"/>
      <c r="CM226" s="88"/>
      <c r="CN226" s="88"/>
      <c r="CO226" s="88"/>
      <c r="CP226" s="88"/>
      <c r="CQ226" s="88"/>
      <c r="CR226" s="88"/>
      <c r="CS226" s="88"/>
      <c r="CT226" s="88"/>
      <c r="CU226" s="88"/>
    </row>
    <row r="227" spans="1:99">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88"/>
      <c r="BZ227" s="88"/>
      <c r="CA227" s="88"/>
      <c r="CB227" s="88"/>
      <c r="CC227" s="88"/>
      <c r="CD227" s="88"/>
      <c r="CE227" s="88"/>
      <c r="CF227" s="88"/>
      <c r="CG227" s="88"/>
      <c r="CH227" s="88"/>
      <c r="CI227" s="88"/>
      <c r="CJ227" s="88"/>
      <c r="CK227" s="88"/>
      <c r="CL227" s="88"/>
      <c r="CM227" s="88"/>
      <c r="CN227" s="88"/>
      <c r="CO227" s="88"/>
      <c r="CP227" s="88"/>
      <c r="CQ227" s="88"/>
      <c r="CR227" s="88"/>
      <c r="CS227" s="88"/>
      <c r="CT227" s="88"/>
      <c r="CU227" s="88"/>
    </row>
    <row r="228" spans="1:99">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88"/>
      <c r="BZ228" s="88"/>
      <c r="CA228" s="88"/>
      <c r="CB228" s="88"/>
      <c r="CC228" s="88"/>
      <c r="CD228" s="88"/>
      <c r="CE228" s="88"/>
      <c r="CF228" s="88"/>
      <c r="CG228" s="88"/>
      <c r="CH228" s="88"/>
      <c r="CI228" s="88"/>
      <c r="CJ228" s="88"/>
      <c r="CK228" s="88"/>
      <c r="CL228" s="88"/>
      <c r="CM228" s="88"/>
      <c r="CN228" s="88"/>
      <c r="CO228" s="88"/>
      <c r="CP228" s="88"/>
      <c r="CQ228" s="88"/>
      <c r="CR228" s="88"/>
      <c r="CS228" s="88"/>
      <c r="CT228" s="88"/>
      <c r="CU228" s="88"/>
    </row>
    <row r="229" spans="1:99">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88"/>
      <c r="BZ229" s="88"/>
      <c r="CA229" s="88"/>
      <c r="CB229" s="88"/>
      <c r="CC229" s="88"/>
      <c r="CD229" s="88"/>
      <c r="CE229" s="88"/>
      <c r="CF229" s="88"/>
      <c r="CG229" s="88"/>
      <c r="CH229" s="88"/>
      <c r="CI229" s="88"/>
      <c r="CJ229" s="88"/>
      <c r="CK229" s="88"/>
      <c r="CL229" s="88"/>
      <c r="CM229" s="88"/>
      <c r="CN229" s="88"/>
      <c r="CO229" s="88"/>
      <c r="CP229" s="88"/>
      <c r="CQ229" s="88"/>
      <c r="CR229" s="88"/>
      <c r="CS229" s="88"/>
      <c r="CT229" s="88"/>
      <c r="CU229" s="88"/>
    </row>
    <row r="230" spans="1:99">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88"/>
      <c r="BZ230" s="88"/>
      <c r="CA230" s="88"/>
      <c r="CB230" s="88"/>
      <c r="CC230" s="88"/>
      <c r="CD230" s="88"/>
      <c r="CE230" s="88"/>
      <c r="CF230" s="88"/>
      <c r="CG230" s="88"/>
      <c r="CH230" s="88"/>
      <c r="CI230" s="88"/>
      <c r="CJ230" s="88"/>
      <c r="CK230" s="88"/>
      <c r="CL230" s="88"/>
      <c r="CM230" s="88"/>
      <c r="CN230" s="88"/>
      <c r="CO230" s="88"/>
      <c r="CP230" s="88"/>
      <c r="CQ230" s="88"/>
      <c r="CR230" s="88"/>
      <c r="CS230" s="88"/>
      <c r="CT230" s="88"/>
      <c r="CU230" s="88"/>
    </row>
    <row r="231" spans="1:99">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88"/>
      <c r="BZ231" s="88"/>
      <c r="CA231" s="88"/>
      <c r="CB231" s="88"/>
      <c r="CC231" s="88"/>
      <c r="CD231" s="88"/>
      <c r="CE231" s="88"/>
      <c r="CF231" s="88"/>
      <c r="CG231" s="88"/>
      <c r="CH231" s="88"/>
      <c r="CI231" s="88"/>
      <c r="CJ231" s="88"/>
      <c r="CK231" s="88"/>
      <c r="CL231" s="88"/>
      <c r="CM231" s="88"/>
      <c r="CN231" s="88"/>
      <c r="CO231" s="88"/>
      <c r="CP231" s="88"/>
      <c r="CQ231" s="88"/>
      <c r="CR231" s="88"/>
      <c r="CS231" s="88"/>
      <c r="CT231" s="88"/>
      <c r="CU231" s="88"/>
    </row>
    <row r="232" spans="1:99">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88"/>
      <c r="BZ232" s="88"/>
      <c r="CA232" s="88"/>
      <c r="CB232" s="88"/>
      <c r="CC232" s="88"/>
      <c r="CD232" s="88"/>
      <c r="CE232" s="88"/>
      <c r="CF232" s="88"/>
      <c r="CG232" s="88"/>
      <c r="CH232" s="88"/>
      <c r="CI232" s="88"/>
      <c r="CJ232" s="88"/>
      <c r="CK232" s="88"/>
      <c r="CL232" s="88"/>
      <c r="CM232" s="88"/>
      <c r="CN232" s="88"/>
      <c r="CO232" s="88"/>
      <c r="CP232" s="88"/>
      <c r="CQ232" s="88"/>
      <c r="CR232" s="88"/>
      <c r="CS232" s="88"/>
      <c r="CT232" s="88"/>
      <c r="CU232" s="88"/>
    </row>
    <row r="233" spans="1:99">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88"/>
      <c r="BZ233" s="88"/>
      <c r="CA233" s="88"/>
      <c r="CB233" s="88"/>
      <c r="CC233" s="88"/>
      <c r="CD233" s="88"/>
      <c r="CE233" s="88"/>
      <c r="CF233" s="88"/>
      <c r="CG233" s="88"/>
      <c r="CH233" s="88"/>
      <c r="CI233" s="88"/>
      <c r="CJ233" s="88"/>
      <c r="CK233" s="88"/>
      <c r="CL233" s="88"/>
      <c r="CM233" s="88"/>
      <c r="CN233" s="88"/>
      <c r="CO233" s="88"/>
      <c r="CP233" s="88"/>
      <c r="CQ233" s="88"/>
      <c r="CR233" s="88"/>
      <c r="CS233" s="88"/>
      <c r="CT233" s="88"/>
      <c r="CU233" s="88"/>
    </row>
    <row r="234" spans="1:99">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88"/>
      <c r="BZ234" s="88"/>
      <c r="CA234" s="88"/>
      <c r="CB234" s="88"/>
      <c r="CC234" s="88"/>
      <c r="CD234" s="88"/>
      <c r="CE234" s="88"/>
      <c r="CF234" s="88"/>
      <c r="CG234" s="88"/>
      <c r="CH234" s="88"/>
      <c r="CI234" s="88"/>
      <c r="CJ234" s="88"/>
      <c r="CK234" s="88"/>
      <c r="CL234" s="88"/>
      <c r="CM234" s="88"/>
      <c r="CN234" s="88"/>
      <c r="CO234" s="88"/>
      <c r="CP234" s="88"/>
      <c r="CQ234" s="88"/>
      <c r="CR234" s="88"/>
      <c r="CS234" s="88"/>
      <c r="CT234" s="88"/>
      <c r="CU234" s="88"/>
    </row>
    <row r="235" spans="1:99">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88"/>
      <c r="BZ235" s="88"/>
      <c r="CA235" s="88"/>
      <c r="CB235" s="88"/>
      <c r="CC235" s="88"/>
      <c r="CD235" s="88"/>
      <c r="CE235" s="88"/>
      <c r="CF235" s="88"/>
      <c r="CG235" s="88"/>
      <c r="CH235" s="88"/>
      <c r="CI235" s="88"/>
      <c r="CJ235" s="88"/>
      <c r="CK235" s="88"/>
      <c r="CL235" s="88"/>
      <c r="CM235" s="88"/>
      <c r="CN235" s="88"/>
      <c r="CO235" s="88"/>
      <c r="CP235" s="88"/>
      <c r="CQ235" s="88"/>
      <c r="CR235" s="88"/>
      <c r="CS235" s="88"/>
      <c r="CT235" s="88"/>
      <c r="CU235" s="88"/>
    </row>
    <row r="236" spans="1:99">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88"/>
      <c r="BZ236" s="88"/>
      <c r="CA236" s="88"/>
      <c r="CB236" s="88"/>
      <c r="CC236" s="88"/>
      <c r="CD236" s="88"/>
      <c r="CE236" s="88"/>
      <c r="CF236" s="88"/>
      <c r="CG236" s="88"/>
      <c r="CH236" s="88"/>
      <c r="CI236" s="88"/>
      <c r="CJ236" s="88"/>
      <c r="CK236" s="88"/>
      <c r="CL236" s="88"/>
      <c r="CM236" s="88"/>
      <c r="CN236" s="88"/>
      <c r="CO236" s="88"/>
      <c r="CP236" s="88"/>
      <c r="CQ236" s="88"/>
      <c r="CR236" s="88"/>
      <c r="CS236" s="88"/>
      <c r="CT236" s="88"/>
      <c r="CU236" s="88"/>
    </row>
    <row r="237" spans="1:99">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88"/>
      <c r="BZ237" s="88"/>
      <c r="CA237" s="88"/>
      <c r="CB237" s="88"/>
      <c r="CC237" s="88"/>
      <c r="CD237" s="88"/>
      <c r="CE237" s="88"/>
      <c r="CF237" s="88"/>
      <c r="CG237" s="88"/>
      <c r="CH237" s="88"/>
      <c r="CI237" s="88"/>
      <c r="CJ237" s="88"/>
      <c r="CK237" s="88"/>
      <c r="CL237" s="88"/>
      <c r="CM237" s="88"/>
      <c r="CN237" s="88"/>
      <c r="CO237" s="88"/>
      <c r="CP237" s="88"/>
      <c r="CQ237" s="88"/>
      <c r="CR237" s="88"/>
      <c r="CS237" s="88"/>
      <c r="CT237" s="88"/>
      <c r="CU237" s="88"/>
    </row>
    <row r="238" spans="1:99">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88"/>
      <c r="BZ238" s="88"/>
      <c r="CA238" s="88"/>
      <c r="CB238" s="88"/>
      <c r="CC238" s="88"/>
      <c r="CD238" s="88"/>
      <c r="CE238" s="88"/>
      <c r="CF238" s="88"/>
      <c r="CG238" s="88"/>
      <c r="CH238" s="88"/>
      <c r="CI238" s="88"/>
      <c r="CJ238" s="88"/>
      <c r="CK238" s="88"/>
      <c r="CL238" s="88"/>
      <c r="CM238" s="88"/>
      <c r="CN238" s="88"/>
      <c r="CO238" s="88"/>
      <c r="CP238" s="88"/>
      <c r="CQ238" s="88"/>
      <c r="CR238" s="88"/>
      <c r="CS238" s="88"/>
      <c r="CT238" s="88"/>
      <c r="CU238" s="88"/>
    </row>
    <row r="239" spans="1:99">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88"/>
      <c r="BZ239" s="88"/>
      <c r="CA239" s="88"/>
      <c r="CB239" s="88"/>
      <c r="CC239" s="88"/>
      <c r="CD239" s="88"/>
      <c r="CE239" s="88"/>
      <c r="CF239" s="88"/>
      <c r="CG239" s="88"/>
      <c r="CH239" s="88"/>
      <c r="CI239" s="88"/>
      <c r="CJ239" s="88"/>
      <c r="CK239" s="88"/>
      <c r="CL239" s="88"/>
      <c r="CM239" s="88"/>
      <c r="CN239" s="88"/>
      <c r="CO239" s="88"/>
      <c r="CP239" s="88"/>
      <c r="CQ239" s="88"/>
      <c r="CR239" s="88"/>
      <c r="CS239" s="88"/>
      <c r="CT239" s="88"/>
      <c r="CU239" s="88"/>
    </row>
    <row r="240" spans="1:99">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88"/>
      <c r="BZ240" s="88"/>
      <c r="CA240" s="88"/>
      <c r="CB240" s="88"/>
      <c r="CC240" s="88"/>
      <c r="CD240" s="88"/>
      <c r="CE240" s="88"/>
      <c r="CF240" s="88"/>
      <c r="CG240" s="88"/>
      <c r="CH240" s="88"/>
      <c r="CI240" s="88"/>
      <c r="CJ240" s="88"/>
      <c r="CK240" s="88"/>
      <c r="CL240" s="88"/>
      <c r="CM240" s="88"/>
      <c r="CN240" s="88"/>
      <c r="CO240" s="88"/>
      <c r="CP240" s="88"/>
      <c r="CQ240" s="88"/>
      <c r="CR240" s="88"/>
      <c r="CS240" s="88"/>
      <c r="CT240" s="88"/>
      <c r="CU240" s="88"/>
    </row>
    <row r="241" spans="1:99">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88"/>
      <c r="BZ241" s="88"/>
      <c r="CA241" s="88"/>
      <c r="CB241" s="88"/>
      <c r="CC241" s="88"/>
      <c r="CD241" s="88"/>
      <c r="CE241" s="88"/>
      <c r="CF241" s="88"/>
      <c r="CG241" s="88"/>
      <c r="CH241" s="88"/>
      <c r="CI241" s="88"/>
      <c r="CJ241" s="88"/>
      <c r="CK241" s="88"/>
      <c r="CL241" s="88"/>
      <c r="CM241" s="88"/>
      <c r="CN241" s="88"/>
      <c r="CO241" s="88"/>
      <c r="CP241" s="88"/>
      <c r="CQ241" s="88"/>
      <c r="CR241" s="88"/>
      <c r="CS241" s="88"/>
      <c r="CT241" s="88"/>
      <c r="CU241" s="88"/>
    </row>
    <row r="242" spans="1:99">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88"/>
      <c r="BZ242" s="88"/>
      <c r="CA242" s="88"/>
      <c r="CB242" s="88"/>
      <c r="CC242" s="88"/>
      <c r="CD242" s="88"/>
      <c r="CE242" s="88"/>
      <c r="CF242" s="88"/>
      <c r="CG242" s="88"/>
      <c r="CH242" s="88"/>
      <c r="CI242" s="88"/>
      <c r="CJ242" s="88"/>
      <c r="CK242" s="88"/>
      <c r="CL242" s="88"/>
      <c r="CM242" s="88"/>
      <c r="CN242" s="88"/>
      <c r="CO242" s="88"/>
      <c r="CP242" s="88"/>
      <c r="CQ242" s="88"/>
      <c r="CR242" s="88"/>
      <c r="CS242" s="88"/>
      <c r="CT242" s="88"/>
      <c r="CU242" s="88"/>
    </row>
    <row r="243" spans="1:99">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88"/>
      <c r="BZ243" s="88"/>
      <c r="CA243" s="88"/>
      <c r="CB243" s="88"/>
      <c r="CC243" s="88"/>
      <c r="CD243" s="88"/>
      <c r="CE243" s="88"/>
      <c r="CF243" s="88"/>
      <c r="CG243" s="88"/>
      <c r="CH243" s="88"/>
      <c r="CI243" s="88"/>
      <c r="CJ243" s="88"/>
      <c r="CK243" s="88"/>
      <c r="CL243" s="88"/>
      <c r="CM243" s="88"/>
      <c r="CN243" s="88"/>
      <c r="CO243" s="88"/>
      <c r="CP243" s="88"/>
      <c r="CQ243" s="88"/>
      <c r="CR243" s="88"/>
      <c r="CS243" s="88"/>
      <c r="CT243" s="88"/>
      <c r="CU243" s="88"/>
    </row>
    <row r="244" spans="1:99">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88"/>
      <c r="BZ244" s="88"/>
      <c r="CA244" s="88"/>
      <c r="CB244" s="88"/>
      <c r="CC244" s="88"/>
      <c r="CD244" s="88"/>
      <c r="CE244" s="88"/>
      <c r="CF244" s="88"/>
      <c r="CG244" s="88"/>
      <c r="CH244" s="88"/>
      <c r="CI244" s="88"/>
      <c r="CJ244" s="88"/>
      <c r="CK244" s="88"/>
      <c r="CL244" s="88"/>
      <c r="CM244" s="88"/>
      <c r="CN244" s="88"/>
      <c r="CO244" s="88"/>
      <c r="CP244" s="88"/>
      <c r="CQ244" s="88"/>
      <c r="CR244" s="88"/>
      <c r="CS244" s="88"/>
      <c r="CT244" s="88"/>
      <c r="CU244" s="88"/>
    </row>
    <row r="245" spans="1:99">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88"/>
      <c r="BZ245" s="88"/>
      <c r="CA245" s="88"/>
      <c r="CB245" s="88"/>
      <c r="CC245" s="88"/>
      <c r="CD245" s="88"/>
      <c r="CE245" s="88"/>
      <c r="CF245" s="88"/>
      <c r="CG245" s="88"/>
      <c r="CH245" s="88"/>
      <c r="CI245" s="88"/>
      <c r="CJ245" s="88"/>
      <c r="CK245" s="88"/>
      <c r="CL245" s="88"/>
      <c r="CM245" s="88"/>
      <c r="CN245" s="88"/>
      <c r="CO245" s="88"/>
      <c r="CP245" s="88"/>
      <c r="CQ245" s="88"/>
      <c r="CR245" s="88"/>
      <c r="CS245" s="88"/>
      <c r="CT245" s="88"/>
      <c r="CU245" s="88"/>
    </row>
    <row r="246" spans="1:99">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88"/>
      <c r="BZ246" s="88"/>
      <c r="CA246" s="88"/>
      <c r="CB246" s="88"/>
      <c r="CC246" s="88"/>
      <c r="CD246" s="88"/>
      <c r="CE246" s="88"/>
      <c r="CF246" s="88"/>
      <c r="CG246" s="88"/>
      <c r="CH246" s="88"/>
      <c r="CI246" s="88"/>
      <c r="CJ246" s="88"/>
      <c r="CK246" s="88"/>
      <c r="CL246" s="88"/>
      <c r="CM246" s="88"/>
      <c r="CN246" s="88"/>
      <c r="CO246" s="88"/>
      <c r="CP246" s="88"/>
      <c r="CQ246" s="88"/>
      <c r="CR246" s="88"/>
      <c r="CS246" s="88"/>
      <c r="CT246" s="88"/>
      <c r="CU246" s="88"/>
    </row>
    <row r="247" spans="1:99">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88"/>
      <c r="BZ247" s="88"/>
      <c r="CA247" s="88"/>
      <c r="CB247" s="88"/>
      <c r="CC247" s="88"/>
      <c r="CD247" s="88"/>
      <c r="CE247" s="88"/>
      <c r="CF247" s="88"/>
      <c r="CG247" s="88"/>
      <c r="CH247" s="88"/>
      <c r="CI247" s="88"/>
      <c r="CJ247" s="88"/>
      <c r="CK247" s="88"/>
      <c r="CL247" s="88"/>
      <c r="CM247" s="88"/>
      <c r="CN247" s="88"/>
      <c r="CO247" s="88"/>
      <c r="CP247" s="88"/>
      <c r="CQ247" s="88"/>
      <c r="CR247" s="88"/>
      <c r="CS247" s="88"/>
      <c r="CT247" s="88"/>
      <c r="CU247" s="88"/>
    </row>
    <row r="248" spans="1:99">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88"/>
      <c r="BZ248" s="88"/>
      <c r="CA248" s="88"/>
      <c r="CB248" s="88"/>
      <c r="CC248" s="88"/>
      <c r="CD248" s="88"/>
      <c r="CE248" s="88"/>
      <c r="CF248" s="88"/>
      <c r="CG248" s="88"/>
      <c r="CH248" s="88"/>
      <c r="CI248" s="88"/>
      <c r="CJ248" s="88"/>
      <c r="CK248" s="88"/>
      <c r="CL248" s="88"/>
      <c r="CM248" s="88"/>
      <c r="CN248" s="88"/>
      <c r="CO248" s="88"/>
      <c r="CP248" s="88"/>
      <c r="CQ248" s="88"/>
      <c r="CR248" s="88"/>
      <c r="CS248" s="88"/>
      <c r="CT248" s="88"/>
      <c r="CU248" s="88"/>
    </row>
    <row r="249" spans="1:99">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88"/>
      <c r="BZ249" s="88"/>
      <c r="CA249" s="88"/>
      <c r="CB249" s="88"/>
      <c r="CC249" s="88"/>
      <c r="CD249" s="88"/>
      <c r="CE249" s="88"/>
      <c r="CF249" s="88"/>
      <c r="CG249" s="88"/>
      <c r="CH249" s="88"/>
      <c r="CI249" s="88"/>
      <c r="CJ249" s="88"/>
      <c r="CK249" s="88"/>
      <c r="CL249" s="88"/>
      <c r="CM249" s="88"/>
      <c r="CN249" s="88"/>
      <c r="CO249" s="88"/>
      <c r="CP249" s="88"/>
      <c r="CQ249" s="88"/>
      <c r="CR249" s="88"/>
      <c r="CS249" s="88"/>
      <c r="CT249" s="88"/>
      <c r="CU249" s="88"/>
    </row>
    <row r="250" spans="1:99">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88"/>
      <c r="BZ250" s="88"/>
      <c r="CA250" s="88"/>
      <c r="CB250" s="88"/>
      <c r="CC250" s="88"/>
      <c r="CD250" s="88"/>
      <c r="CE250" s="88"/>
      <c r="CF250" s="88"/>
      <c r="CG250" s="88"/>
      <c r="CH250" s="88"/>
      <c r="CI250" s="88"/>
      <c r="CJ250" s="88"/>
      <c r="CK250" s="88"/>
      <c r="CL250" s="88"/>
      <c r="CM250" s="88"/>
      <c r="CN250" s="88"/>
      <c r="CO250" s="88"/>
      <c r="CP250" s="88"/>
      <c r="CQ250" s="88"/>
      <c r="CR250" s="88"/>
      <c r="CS250" s="88"/>
      <c r="CT250" s="88"/>
      <c r="CU250" s="88"/>
    </row>
    <row r="251" spans="1:99">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88"/>
      <c r="BZ251" s="88"/>
      <c r="CA251" s="88"/>
      <c r="CB251" s="88"/>
      <c r="CC251" s="88"/>
      <c r="CD251" s="88"/>
      <c r="CE251" s="88"/>
      <c r="CF251" s="88"/>
      <c r="CG251" s="88"/>
      <c r="CH251" s="88"/>
      <c r="CI251" s="88"/>
      <c r="CJ251" s="88"/>
      <c r="CK251" s="88"/>
      <c r="CL251" s="88"/>
      <c r="CM251" s="88"/>
      <c r="CN251" s="88"/>
      <c r="CO251" s="88"/>
      <c r="CP251" s="88"/>
      <c r="CQ251" s="88"/>
      <c r="CR251" s="88"/>
      <c r="CS251" s="88"/>
      <c r="CT251" s="88"/>
      <c r="CU251" s="88"/>
    </row>
    <row r="252" spans="1:99">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88"/>
      <c r="BZ252" s="88"/>
      <c r="CA252" s="88"/>
      <c r="CB252" s="88"/>
      <c r="CC252" s="88"/>
      <c r="CD252" s="88"/>
      <c r="CE252" s="88"/>
      <c r="CF252" s="88"/>
      <c r="CG252" s="88"/>
      <c r="CH252" s="88"/>
      <c r="CI252" s="88"/>
      <c r="CJ252" s="88"/>
      <c r="CK252" s="88"/>
      <c r="CL252" s="88"/>
      <c r="CM252" s="88"/>
      <c r="CN252" s="88"/>
      <c r="CO252" s="88"/>
      <c r="CP252" s="88"/>
      <c r="CQ252" s="88"/>
      <c r="CR252" s="88"/>
      <c r="CS252" s="88"/>
      <c r="CT252" s="88"/>
      <c r="CU252" s="88"/>
    </row>
    <row r="253" spans="1:99">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88"/>
      <c r="BZ253" s="88"/>
      <c r="CA253" s="88"/>
      <c r="CB253" s="88"/>
      <c r="CC253" s="88"/>
      <c r="CD253" s="88"/>
      <c r="CE253" s="88"/>
      <c r="CF253" s="88"/>
      <c r="CG253" s="88"/>
      <c r="CH253" s="88"/>
      <c r="CI253" s="88"/>
      <c r="CJ253" s="88"/>
      <c r="CK253" s="88"/>
      <c r="CL253" s="88"/>
      <c r="CM253" s="88"/>
      <c r="CN253" s="88"/>
      <c r="CO253" s="88"/>
      <c r="CP253" s="88"/>
      <c r="CQ253" s="88"/>
      <c r="CR253" s="88"/>
      <c r="CS253" s="88"/>
      <c r="CT253" s="88"/>
      <c r="CU253" s="88"/>
    </row>
    <row r="254" spans="1:99">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88"/>
      <c r="BZ254" s="88"/>
      <c r="CA254" s="88"/>
      <c r="CB254" s="88"/>
      <c r="CC254" s="88"/>
      <c r="CD254" s="88"/>
      <c r="CE254" s="88"/>
      <c r="CF254" s="88"/>
      <c r="CG254" s="88"/>
      <c r="CH254" s="88"/>
      <c r="CI254" s="88"/>
      <c r="CJ254" s="88"/>
      <c r="CK254" s="88"/>
      <c r="CL254" s="88"/>
      <c r="CM254" s="88"/>
      <c r="CN254" s="88"/>
      <c r="CO254" s="88"/>
      <c r="CP254" s="88"/>
      <c r="CQ254" s="88"/>
      <c r="CR254" s="88"/>
      <c r="CS254" s="88"/>
      <c r="CT254" s="88"/>
      <c r="CU254" s="88"/>
    </row>
    <row r="255" spans="1:99">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88"/>
      <c r="BZ255" s="88"/>
      <c r="CA255" s="88"/>
      <c r="CB255" s="88"/>
      <c r="CC255" s="88"/>
      <c r="CD255" s="88"/>
      <c r="CE255" s="88"/>
      <c r="CF255" s="88"/>
      <c r="CG255" s="88"/>
      <c r="CH255" s="88"/>
      <c r="CI255" s="88"/>
      <c r="CJ255" s="88"/>
      <c r="CK255" s="88"/>
      <c r="CL255" s="88"/>
      <c r="CM255" s="88"/>
      <c r="CN255" s="88"/>
      <c r="CO255" s="88"/>
      <c r="CP255" s="88"/>
      <c r="CQ255" s="88"/>
      <c r="CR255" s="88"/>
      <c r="CS255" s="88"/>
      <c r="CT255" s="88"/>
      <c r="CU255" s="88"/>
    </row>
    <row r="256" spans="1:99">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88"/>
      <c r="BZ256" s="88"/>
      <c r="CA256" s="88"/>
      <c r="CB256" s="88"/>
      <c r="CC256" s="88"/>
      <c r="CD256" s="88"/>
      <c r="CE256" s="88"/>
      <c r="CF256" s="88"/>
      <c r="CG256" s="88"/>
      <c r="CH256" s="88"/>
      <c r="CI256" s="88"/>
      <c r="CJ256" s="88"/>
      <c r="CK256" s="88"/>
      <c r="CL256" s="88"/>
      <c r="CM256" s="88"/>
      <c r="CN256" s="88"/>
      <c r="CO256" s="88"/>
      <c r="CP256" s="88"/>
      <c r="CQ256" s="88"/>
      <c r="CR256" s="88"/>
      <c r="CS256" s="88"/>
      <c r="CT256" s="88"/>
      <c r="CU256" s="88"/>
    </row>
    <row r="257" spans="1:99">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88"/>
      <c r="BZ257" s="88"/>
      <c r="CA257" s="88"/>
      <c r="CB257" s="88"/>
      <c r="CC257" s="88"/>
      <c r="CD257" s="88"/>
      <c r="CE257" s="88"/>
      <c r="CF257" s="88"/>
      <c r="CG257" s="88"/>
      <c r="CH257" s="88"/>
      <c r="CI257" s="88"/>
      <c r="CJ257" s="88"/>
      <c r="CK257" s="88"/>
      <c r="CL257" s="88"/>
      <c r="CM257" s="88"/>
      <c r="CN257" s="88"/>
      <c r="CO257" s="88"/>
      <c r="CP257" s="88"/>
      <c r="CQ257" s="88"/>
      <c r="CR257" s="88"/>
      <c r="CS257" s="88"/>
      <c r="CT257" s="88"/>
      <c r="CU257" s="88"/>
    </row>
    <row r="258" spans="1:99">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88"/>
      <c r="BZ258" s="88"/>
      <c r="CA258" s="88"/>
      <c r="CB258" s="88"/>
      <c r="CC258" s="88"/>
      <c r="CD258" s="88"/>
      <c r="CE258" s="88"/>
      <c r="CF258" s="88"/>
      <c r="CG258" s="88"/>
      <c r="CH258" s="88"/>
      <c r="CI258" s="88"/>
      <c r="CJ258" s="88"/>
      <c r="CK258" s="88"/>
      <c r="CL258" s="88"/>
      <c r="CM258" s="88"/>
      <c r="CN258" s="88"/>
      <c r="CO258" s="88"/>
      <c r="CP258" s="88"/>
      <c r="CQ258" s="88"/>
      <c r="CR258" s="88"/>
      <c r="CS258" s="88"/>
      <c r="CT258" s="88"/>
      <c r="CU258" s="88"/>
    </row>
    <row r="259" spans="1:99">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88"/>
      <c r="BZ259" s="88"/>
      <c r="CA259" s="88"/>
      <c r="CB259" s="88"/>
      <c r="CC259" s="88"/>
      <c r="CD259" s="88"/>
      <c r="CE259" s="88"/>
      <c r="CF259" s="88"/>
      <c r="CG259" s="88"/>
      <c r="CH259" s="88"/>
      <c r="CI259" s="88"/>
      <c r="CJ259" s="88"/>
      <c r="CK259" s="88"/>
      <c r="CL259" s="88"/>
      <c r="CM259" s="88"/>
      <c r="CN259" s="88"/>
      <c r="CO259" s="88"/>
      <c r="CP259" s="88"/>
      <c r="CQ259" s="88"/>
      <c r="CR259" s="88"/>
      <c r="CS259" s="88"/>
      <c r="CT259" s="88"/>
      <c r="CU259" s="88"/>
    </row>
    <row r="260" spans="1:99">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88"/>
      <c r="BZ260" s="88"/>
      <c r="CA260" s="88"/>
      <c r="CB260" s="88"/>
      <c r="CC260" s="88"/>
      <c r="CD260" s="88"/>
      <c r="CE260" s="88"/>
      <c r="CF260" s="88"/>
      <c r="CG260" s="88"/>
      <c r="CH260" s="88"/>
      <c r="CI260" s="88"/>
      <c r="CJ260" s="88"/>
      <c r="CK260" s="88"/>
      <c r="CL260" s="88"/>
      <c r="CM260" s="88"/>
      <c r="CN260" s="88"/>
      <c r="CO260" s="88"/>
      <c r="CP260" s="88"/>
      <c r="CQ260" s="88"/>
      <c r="CR260" s="88"/>
      <c r="CS260" s="88"/>
      <c r="CT260" s="88"/>
      <c r="CU260" s="88"/>
    </row>
    <row r="261" spans="1:99">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88"/>
      <c r="BZ261" s="88"/>
      <c r="CA261" s="88"/>
      <c r="CB261" s="88"/>
      <c r="CC261" s="88"/>
      <c r="CD261" s="88"/>
      <c r="CE261" s="88"/>
      <c r="CF261" s="88"/>
      <c r="CG261" s="88"/>
      <c r="CH261" s="88"/>
      <c r="CI261" s="88"/>
      <c r="CJ261" s="88"/>
      <c r="CK261" s="88"/>
      <c r="CL261" s="88"/>
      <c r="CM261" s="88"/>
      <c r="CN261" s="88"/>
      <c r="CO261" s="88"/>
      <c r="CP261" s="88"/>
      <c r="CQ261" s="88"/>
      <c r="CR261" s="88"/>
      <c r="CS261" s="88"/>
      <c r="CT261" s="88"/>
      <c r="CU261" s="88"/>
    </row>
    <row r="262" spans="1:99">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88"/>
      <c r="BZ262" s="88"/>
      <c r="CA262" s="88"/>
      <c r="CB262" s="88"/>
      <c r="CC262" s="88"/>
      <c r="CD262" s="88"/>
      <c r="CE262" s="88"/>
      <c r="CF262" s="88"/>
      <c r="CG262" s="88"/>
      <c r="CH262" s="88"/>
      <c r="CI262" s="88"/>
      <c r="CJ262" s="88"/>
      <c r="CK262" s="88"/>
      <c r="CL262" s="88"/>
      <c r="CM262" s="88"/>
      <c r="CN262" s="88"/>
      <c r="CO262" s="88"/>
      <c r="CP262" s="88"/>
      <c r="CQ262" s="88"/>
      <c r="CR262" s="88"/>
      <c r="CS262" s="88"/>
      <c r="CT262" s="88"/>
      <c r="CU262" s="88"/>
    </row>
    <row r="263" spans="1:99">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88"/>
      <c r="BZ263" s="88"/>
      <c r="CA263" s="88"/>
      <c r="CB263" s="88"/>
      <c r="CC263" s="88"/>
      <c r="CD263" s="88"/>
      <c r="CE263" s="88"/>
      <c r="CF263" s="88"/>
      <c r="CG263" s="88"/>
      <c r="CH263" s="88"/>
      <c r="CI263" s="88"/>
      <c r="CJ263" s="88"/>
      <c r="CK263" s="88"/>
      <c r="CL263" s="88"/>
      <c r="CM263" s="88"/>
      <c r="CN263" s="88"/>
      <c r="CO263" s="88"/>
      <c r="CP263" s="88"/>
      <c r="CQ263" s="88"/>
      <c r="CR263" s="88"/>
      <c r="CS263" s="88"/>
      <c r="CT263" s="88"/>
      <c r="CU263" s="88"/>
    </row>
    <row r="264" spans="1:99">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c r="BZ264" s="88"/>
      <c r="CA264" s="88"/>
      <c r="CB264" s="88"/>
      <c r="CC264" s="88"/>
      <c r="CD264" s="88"/>
      <c r="CE264" s="88"/>
      <c r="CF264" s="88"/>
      <c r="CG264" s="88"/>
      <c r="CH264" s="88"/>
      <c r="CI264" s="88"/>
      <c r="CJ264" s="88"/>
      <c r="CK264" s="88"/>
      <c r="CL264" s="88"/>
      <c r="CM264" s="88"/>
      <c r="CN264" s="88"/>
      <c r="CO264" s="88"/>
      <c r="CP264" s="88"/>
      <c r="CQ264" s="88"/>
      <c r="CR264" s="88"/>
      <c r="CS264" s="88"/>
      <c r="CT264" s="88"/>
      <c r="CU264" s="88"/>
    </row>
    <row r="265" spans="1:99">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88"/>
      <c r="BZ265" s="88"/>
      <c r="CA265" s="88"/>
      <c r="CB265" s="88"/>
      <c r="CC265" s="88"/>
      <c r="CD265" s="88"/>
      <c r="CE265" s="88"/>
      <c r="CF265" s="88"/>
      <c r="CG265" s="88"/>
      <c r="CH265" s="88"/>
      <c r="CI265" s="88"/>
      <c r="CJ265" s="88"/>
      <c r="CK265" s="88"/>
      <c r="CL265" s="88"/>
      <c r="CM265" s="88"/>
      <c r="CN265" s="88"/>
      <c r="CO265" s="88"/>
      <c r="CP265" s="88"/>
      <c r="CQ265" s="88"/>
      <c r="CR265" s="88"/>
      <c r="CS265" s="88"/>
      <c r="CT265" s="88"/>
      <c r="CU265" s="88"/>
    </row>
    <row r="266" spans="1:99">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row>
    <row r="267" spans="1:99">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88"/>
      <c r="BZ267" s="88"/>
      <c r="CA267" s="88"/>
      <c r="CB267" s="88"/>
      <c r="CC267" s="88"/>
      <c r="CD267" s="88"/>
      <c r="CE267" s="88"/>
      <c r="CF267" s="88"/>
      <c r="CG267" s="88"/>
      <c r="CH267" s="88"/>
      <c r="CI267" s="88"/>
      <c r="CJ267" s="88"/>
      <c r="CK267" s="88"/>
      <c r="CL267" s="88"/>
      <c r="CM267" s="88"/>
      <c r="CN267" s="88"/>
      <c r="CO267" s="88"/>
      <c r="CP267" s="88"/>
      <c r="CQ267" s="88"/>
      <c r="CR267" s="88"/>
      <c r="CS267" s="88"/>
      <c r="CT267" s="88"/>
      <c r="CU267" s="88"/>
    </row>
    <row r="268" spans="1:99">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88"/>
      <c r="BZ268" s="88"/>
      <c r="CA268" s="88"/>
      <c r="CB268" s="88"/>
      <c r="CC268" s="88"/>
      <c r="CD268" s="88"/>
      <c r="CE268" s="88"/>
      <c r="CF268" s="88"/>
      <c r="CG268" s="88"/>
      <c r="CH268" s="88"/>
      <c r="CI268" s="88"/>
      <c r="CJ268" s="88"/>
      <c r="CK268" s="88"/>
      <c r="CL268" s="88"/>
      <c r="CM268" s="88"/>
      <c r="CN268" s="88"/>
      <c r="CO268" s="88"/>
      <c r="CP268" s="88"/>
      <c r="CQ268" s="88"/>
      <c r="CR268" s="88"/>
      <c r="CS268" s="88"/>
      <c r="CT268" s="88"/>
      <c r="CU268" s="88"/>
    </row>
    <row r="269" spans="1:99">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88"/>
      <c r="BZ269" s="88"/>
      <c r="CA269" s="88"/>
      <c r="CB269" s="88"/>
      <c r="CC269" s="88"/>
      <c r="CD269" s="88"/>
      <c r="CE269" s="88"/>
      <c r="CF269" s="88"/>
      <c r="CG269" s="88"/>
      <c r="CH269" s="88"/>
      <c r="CI269" s="88"/>
      <c r="CJ269" s="88"/>
      <c r="CK269" s="88"/>
      <c r="CL269" s="88"/>
      <c r="CM269" s="88"/>
      <c r="CN269" s="88"/>
      <c r="CO269" s="88"/>
      <c r="CP269" s="88"/>
      <c r="CQ269" s="88"/>
      <c r="CR269" s="88"/>
      <c r="CS269" s="88"/>
      <c r="CT269" s="88"/>
      <c r="CU269" s="88"/>
    </row>
    <row r="270" spans="1:99">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88"/>
      <c r="BZ270" s="88"/>
      <c r="CA270" s="88"/>
      <c r="CB270" s="88"/>
      <c r="CC270" s="88"/>
      <c r="CD270" s="88"/>
      <c r="CE270" s="88"/>
      <c r="CF270" s="88"/>
      <c r="CG270" s="88"/>
      <c r="CH270" s="88"/>
      <c r="CI270" s="88"/>
      <c r="CJ270" s="88"/>
      <c r="CK270" s="88"/>
      <c r="CL270" s="88"/>
      <c r="CM270" s="88"/>
      <c r="CN270" s="88"/>
      <c r="CO270" s="88"/>
      <c r="CP270" s="88"/>
      <c r="CQ270" s="88"/>
      <c r="CR270" s="88"/>
      <c r="CS270" s="88"/>
      <c r="CT270" s="88"/>
      <c r="CU270" s="88"/>
    </row>
    <row r="271" spans="1:99">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88"/>
      <c r="BZ271" s="88"/>
      <c r="CA271" s="88"/>
      <c r="CB271" s="88"/>
      <c r="CC271" s="88"/>
      <c r="CD271" s="88"/>
      <c r="CE271" s="88"/>
      <c r="CF271" s="88"/>
      <c r="CG271" s="88"/>
      <c r="CH271" s="88"/>
      <c r="CI271" s="88"/>
      <c r="CJ271" s="88"/>
      <c r="CK271" s="88"/>
      <c r="CL271" s="88"/>
      <c r="CM271" s="88"/>
      <c r="CN271" s="88"/>
      <c r="CO271" s="88"/>
      <c r="CP271" s="88"/>
      <c r="CQ271" s="88"/>
      <c r="CR271" s="88"/>
      <c r="CS271" s="88"/>
      <c r="CT271" s="88"/>
      <c r="CU271" s="88"/>
    </row>
    <row r="272" spans="1:99">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88"/>
      <c r="BZ272" s="88"/>
      <c r="CA272" s="88"/>
      <c r="CB272" s="88"/>
      <c r="CC272" s="88"/>
      <c r="CD272" s="88"/>
      <c r="CE272" s="88"/>
      <c r="CF272" s="88"/>
      <c r="CG272" s="88"/>
      <c r="CH272" s="88"/>
      <c r="CI272" s="88"/>
      <c r="CJ272" s="88"/>
      <c r="CK272" s="88"/>
      <c r="CL272" s="88"/>
      <c r="CM272" s="88"/>
      <c r="CN272" s="88"/>
      <c r="CO272" s="88"/>
      <c r="CP272" s="88"/>
      <c r="CQ272" s="88"/>
      <c r="CR272" s="88"/>
      <c r="CS272" s="88"/>
      <c r="CT272" s="88"/>
      <c r="CU272" s="88"/>
    </row>
    <row r="273" spans="1:99">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88"/>
      <c r="BZ273" s="88"/>
      <c r="CA273" s="88"/>
      <c r="CB273" s="88"/>
      <c r="CC273" s="88"/>
      <c r="CD273" s="88"/>
      <c r="CE273" s="88"/>
      <c r="CF273" s="88"/>
      <c r="CG273" s="88"/>
      <c r="CH273" s="88"/>
      <c r="CI273" s="88"/>
      <c r="CJ273" s="88"/>
      <c r="CK273" s="88"/>
      <c r="CL273" s="88"/>
      <c r="CM273" s="88"/>
      <c r="CN273" s="88"/>
      <c r="CO273" s="88"/>
      <c r="CP273" s="88"/>
      <c r="CQ273" s="88"/>
      <c r="CR273" s="88"/>
      <c r="CS273" s="88"/>
      <c r="CT273" s="88"/>
      <c r="CU273" s="88"/>
    </row>
    <row r="274" spans="1:99">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88"/>
      <c r="BZ274" s="88"/>
      <c r="CA274" s="88"/>
      <c r="CB274" s="88"/>
      <c r="CC274" s="88"/>
      <c r="CD274" s="88"/>
      <c r="CE274" s="88"/>
      <c r="CF274" s="88"/>
      <c r="CG274" s="88"/>
      <c r="CH274" s="88"/>
      <c r="CI274" s="88"/>
      <c r="CJ274" s="88"/>
      <c r="CK274" s="88"/>
      <c r="CL274" s="88"/>
      <c r="CM274" s="88"/>
      <c r="CN274" s="88"/>
      <c r="CO274" s="88"/>
      <c r="CP274" s="88"/>
      <c r="CQ274" s="88"/>
      <c r="CR274" s="88"/>
      <c r="CS274" s="88"/>
      <c r="CT274" s="88"/>
      <c r="CU274" s="88"/>
    </row>
    <row r="275" spans="1:99">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88"/>
      <c r="BZ275" s="88"/>
      <c r="CA275" s="88"/>
      <c r="CB275" s="88"/>
      <c r="CC275" s="88"/>
      <c r="CD275" s="88"/>
      <c r="CE275" s="88"/>
      <c r="CF275" s="88"/>
      <c r="CG275" s="88"/>
      <c r="CH275" s="88"/>
      <c r="CI275" s="88"/>
      <c r="CJ275" s="88"/>
      <c r="CK275" s="88"/>
      <c r="CL275" s="88"/>
      <c r="CM275" s="88"/>
      <c r="CN275" s="88"/>
      <c r="CO275" s="88"/>
      <c r="CP275" s="88"/>
      <c r="CQ275" s="88"/>
      <c r="CR275" s="88"/>
      <c r="CS275" s="88"/>
      <c r="CT275" s="88"/>
      <c r="CU275" s="88"/>
    </row>
    <row r="276" spans="1:99">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88"/>
      <c r="BZ276" s="88"/>
      <c r="CA276" s="88"/>
      <c r="CB276" s="88"/>
      <c r="CC276" s="88"/>
      <c r="CD276" s="88"/>
      <c r="CE276" s="88"/>
      <c r="CF276" s="88"/>
      <c r="CG276" s="88"/>
      <c r="CH276" s="88"/>
      <c r="CI276" s="88"/>
      <c r="CJ276" s="88"/>
      <c r="CK276" s="88"/>
      <c r="CL276" s="88"/>
      <c r="CM276" s="88"/>
      <c r="CN276" s="88"/>
      <c r="CO276" s="88"/>
      <c r="CP276" s="88"/>
      <c r="CQ276" s="88"/>
      <c r="CR276" s="88"/>
      <c r="CS276" s="88"/>
      <c r="CT276" s="88"/>
      <c r="CU276" s="88"/>
    </row>
    <row r="277" spans="1:99">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88"/>
      <c r="BZ277" s="88"/>
      <c r="CA277" s="88"/>
      <c r="CB277" s="88"/>
      <c r="CC277" s="88"/>
      <c r="CD277" s="88"/>
      <c r="CE277" s="88"/>
      <c r="CF277" s="88"/>
      <c r="CG277" s="88"/>
      <c r="CH277" s="88"/>
      <c r="CI277" s="88"/>
      <c r="CJ277" s="88"/>
      <c r="CK277" s="88"/>
      <c r="CL277" s="88"/>
      <c r="CM277" s="88"/>
      <c r="CN277" s="88"/>
      <c r="CO277" s="88"/>
      <c r="CP277" s="88"/>
      <c r="CQ277" s="88"/>
      <c r="CR277" s="88"/>
      <c r="CS277" s="88"/>
      <c r="CT277" s="88"/>
      <c r="CU277" s="88"/>
    </row>
    <row r="278" spans="1:99">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88"/>
      <c r="BZ278" s="88"/>
      <c r="CA278" s="88"/>
      <c r="CB278" s="88"/>
      <c r="CC278" s="88"/>
      <c r="CD278" s="88"/>
      <c r="CE278" s="88"/>
      <c r="CF278" s="88"/>
      <c r="CG278" s="88"/>
      <c r="CH278" s="88"/>
      <c r="CI278" s="88"/>
      <c r="CJ278" s="88"/>
      <c r="CK278" s="88"/>
      <c r="CL278" s="88"/>
      <c r="CM278" s="88"/>
      <c r="CN278" s="88"/>
      <c r="CO278" s="88"/>
      <c r="CP278" s="88"/>
      <c r="CQ278" s="88"/>
      <c r="CR278" s="88"/>
      <c r="CS278" s="88"/>
      <c r="CT278" s="88"/>
      <c r="CU278" s="88"/>
    </row>
    <row r="279" spans="1:99">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88"/>
      <c r="BZ279" s="88"/>
      <c r="CA279" s="88"/>
      <c r="CB279" s="88"/>
      <c r="CC279" s="88"/>
      <c r="CD279" s="88"/>
      <c r="CE279" s="88"/>
      <c r="CF279" s="88"/>
      <c r="CG279" s="88"/>
      <c r="CH279" s="88"/>
      <c r="CI279" s="88"/>
      <c r="CJ279" s="88"/>
      <c r="CK279" s="88"/>
      <c r="CL279" s="88"/>
      <c r="CM279" s="88"/>
      <c r="CN279" s="88"/>
      <c r="CO279" s="88"/>
      <c r="CP279" s="88"/>
      <c r="CQ279" s="88"/>
      <c r="CR279" s="88"/>
      <c r="CS279" s="88"/>
      <c r="CT279" s="88"/>
      <c r="CU279" s="88"/>
    </row>
    <row r="280" spans="1:99">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88"/>
      <c r="BZ280" s="88"/>
      <c r="CA280" s="88"/>
      <c r="CB280" s="88"/>
      <c r="CC280" s="88"/>
      <c r="CD280" s="88"/>
      <c r="CE280" s="88"/>
      <c r="CF280" s="88"/>
      <c r="CG280" s="88"/>
      <c r="CH280" s="88"/>
      <c r="CI280" s="88"/>
      <c r="CJ280" s="88"/>
      <c r="CK280" s="88"/>
      <c r="CL280" s="88"/>
      <c r="CM280" s="88"/>
      <c r="CN280" s="88"/>
      <c r="CO280" s="88"/>
      <c r="CP280" s="88"/>
      <c r="CQ280" s="88"/>
      <c r="CR280" s="88"/>
      <c r="CS280" s="88"/>
      <c r="CT280" s="88"/>
      <c r="CU280" s="88"/>
    </row>
    <row r="281" spans="1:99">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88"/>
      <c r="BZ281" s="88"/>
      <c r="CA281" s="88"/>
      <c r="CB281" s="88"/>
      <c r="CC281" s="88"/>
      <c r="CD281" s="88"/>
      <c r="CE281" s="88"/>
      <c r="CF281" s="88"/>
      <c r="CG281" s="88"/>
      <c r="CH281" s="88"/>
      <c r="CI281" s="88"/>
      <c r="CJ281" s="88"/>
      <c r="CK281" s="88"/>
      <c r="CL281" s="88"/>
      <c r="CM281" s="88"/>
      <c r="CN281" s="88"/>
      <c r="CO281" s="88"/>
      <c r="CP281" s="88"/>
      <c r="CQ281" s="88"/>
      <c r="CR281" s="88"/>
      <c r="CS281" s="88"/>
      <c r="CT281" s="88"/>
      <c r="CU281" s="88"/>
    </row>
    <row r="282" spans="1:99">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88"/>
      <c r="BZ282" s="88"/>
      <c r="CA282" s="88"/>
      <c r="CB282" s="88"/>
      <c r="CC282" s="88"/>
      <c r="CD282" s="88"/>
      <c r="CE282" s="88"/>
      <c r="CF282" s="88"/>
      <c r="CG282" s="88"/>
      <c r="CH282" s="88"/>
      <c r="CI282" s="88"/>
      <c r="CJ282" s="88"/>
      <c r="CK282" s="88"/>
      <c r="CL282" s="88"/>
      <c r="CM282" s="88"/>
      <c r="CN282" s="88"/>
      <c r="CO282" s="88"/>
      <c r="CP282" s="88"/>
      <c r="CQ282" s="88"/>
      <c r="CR282" s="88"/>
      <c r="CS282" s="88"/>
      <c r="CT282" s="88"/>
      <c r="CU282" s="88"/>
    </row>
    <row r="283" spans="1:99">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88"/>
      <c r="BZ283" s="88"/>
      <c r="CA283" s="88"/>
      <c r="CB283" s="88"/>
      <c r="CC283" s="88"/>
      <c r="CD283" s="88"/>
      <c r="CE283" s="88"/>
      <c r="CF283" s="88"/>
      <c r="CG283" s="88"/>
      <c r="CH283" s="88"/>
      <c r="CI283" s="88"/>
      <c r="CJ283" s="88"/>
      <c r="CK283" s="88"/>
      <c r="CL283" s="88"/>
      <c r="CM283" s="88"/>
      <c r="CN283" s="88"/>
      <c r="CO283" s="88"/>
      <c r="CP283" s="88"/>
      <c r="CQ283" s="88"/>
      <c r="CR283" s="88"/>
      <c r="CS283" s="88"/>
      <c r="CT283" s="88"/>
      <c r="CU283" s="88"/>
    </row>
    <row r="284" spans="1:99">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88"/>
      <c r="BZ284" s="88"/>
      <c r="CA284" s="88"/>
      <c r="CB284" s="88"/>
      <c r="CC284" s="88"/>
      <c r="CD284" s="88"/>
      <c r="CE284" s="88"/>
      <c r="CF284" s="88"/>
      <c r="CG284" s="88"/>
      <c r="CH284" s="88"/>
      <c r="CI284" s="88"/>
      <c r="CJ284" s="88"/>
      <c r="CK284" s="88"/>
      <c r="CL284" s="88"/>
      <c r="CM284" s="88"/>
      <c r="CN284" s="88"/>
      <c r="CO284" s="88"/>
      <c r="CP284" s="88"/>
      <c r="CQ284" s="88"/>
      <c r="CR284" s="88"/>
      <c r="CS284" s="88"/>
      <c r="CT284" s="88"/>
      <c r="CU284" s="88"/>
    </row>
    <row r="285" spans="1:99">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88"/>
      <c r="BZ285" s="88"/>
      <c r="CA285" s="88"/>
      <c r="CB285" s="88"/>
      <c r="CC285" s="88"/>
      <c r="CD285" s="88"/>
      <c r="CE285" s="88"/>
      <c r="CF285" s="88"/>
      <c r="CG285" s="88"/>
      <c r="CH285" s="88"/>
      <c r="CI285" s="88"/>
      <c r="CJ285" s="88"/>
      <c r="CK285" s="88"/>
      <c r="CL285" s="88"/>
      <c r="CM285" s="88"/>
      <c r="CN285" s="88"/>
      <c r="CO285" s="88"/>
      <c r="CP285" s="88"/>
      <c r="CQ285" s="88"/>
      <c r="CR285" s="88"/>
      <c r="CS285" s="88"/>
      <c r="CT285" s="88"/>
      <c r="CU285" s="88"/>
    </row>
    <row r="286" spans="1:99">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88"/>
      <c r="BZ286" s="88"/>
      <c r="CA286" s="88"/>
      <c r="CB286" s="88"/>
      <c r="CC286" s="88"/>
      <c r="CD286" s="88"/>
      <c r="CE286" s="88"/>
      <c r="CF286" s="88"/>
      <c r="CG286" s="88"/>
      <c r="CH286" s="88"/>
      <c r="CI286" s="88"/>
      <c r="CJ286" s="88"/>
      <c r="CK286" s="88"/>
      <c r="CL286" s="88"/>
      <c r="CM286" s="88"/>
      <c r="CN286" s="88"/>
      <c r="CO286" s="88"/>
      <c r="CP286" s="88"/>
      <c r="CQ286" s="88"/>
      <c r="CR286" s="88"/>
      <c r="CS286" s="88"/>
      <c r="CT286" s="88"/>
      <c r="CU286" s="88"/>
    </row>
    <row r="287" spans="1:99">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88"/>
      <c r="BZ287" s="88"/>
      <c r="CA287" s="88"/>
      <c r="CB287" s="88"/>
      <c r="CC287" s="88"/>
      <c r="CD287" s="88"/>
      <c r="CE287" s="88"/>
      <c r="CF287" s="88"/>
      <c r="CG287" s="88"/>
      <c r="CH287" s="88"/>
      <c r="CI287" s="88"/>
      <c r="CJ287" s="88"/>
      <c r="CK287" s="88"/>
      <c r="CL287" s="88"/>
      <c r="CM287" s="88"/>
      <c r="CN287" s="88"/>
      <c r="CO287" s="88"/>
      <c r="CP287" s="88"/>
      <c r="CQ287" s="88"/>
      <c r="CR287" s="88"/>
      <c r="CS287" s="88"/>
      <c r="CT287" s="88"/>
      <c r="CU287" s="88"/>
    </row>
    <row r="288" spans="1:99">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88"/>
      <c r="BZ288" s="88"/>
      <c r="CA288" s="88"/>
      <c r="CB288" s="88"/>
      <c r="CC288" s="88"/>
      <c r="CD288" s="88"/>
      <c r="CE288" s="88"/>
      <c r="CF288" s="88"/>
      <c r="CG288" s="88"/>
      <c r="CH288" s="88"/>
      <c r="CI288" s="88"/>
      <c r="CJ288" s="88"/>
      <c r="CK288" s="88"/>
      <c r="CL288" s="88"/>
      <c r="CM288" s="88"/>
      <c r="CN288" s="88"/>
      <c r="CO288" s="88"/>
      <c r="CP288" s="88"/>
      <c r="CQ288" s="88"/>
      <c r="CR288" s="88"/>
      <c r="CS288" s="88"/>
      <c r="CT288" s="88"/>
      <c r="CU288" s="88"/>
    </row>
    <row r="289" spans="1:99">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88"/>
      <c r="BZ289" s="88"/>
      <c r="CA289" s="88"/>
      <c r="CB289" s="88"/>
      <c r="CC289" s="88"/>
      <c r="CD289" s="88"/>
      <c r="CE289" s="88"/>
      <c r="CF289" s="88"/>
      <c r="CG289" s="88"/>
      <c r="CH289" s="88"/>
      <c r="CI289" s="88"/>
      <c r="CJ289" s="88"/>
      <c r="CK289" s="88"/>
      <c r="CL289" s="88"/>
      <c r="CM289" s="88"/>
      <c r="CN289" s="88"/>
      <c r="CO289" s="88"/>
      <c r="CP289" s="88"/>
      <c r="CQ289" s="88"/>
      <c r="CR289" s="88"/>
      <c r="CS289" s="88"/>
      <c r="CT289" s="88"/>
      <c r="CU289" s="88"/>
    </row>
    <row r="290" spans="1:99">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88"/>
      <c r="BZ290" s="88"/>
      <c r="CA290" s="88"/>
      <c r="CB290" s="88"/>
      <c r="CC290" s="88"/>
      <c r="CD290" s="88"/>
      <c r="CE290" s="88"/>
      <c r="CF290" s="88"/>
      <c r="CG290" s="88"/>
      <c r="CH290" s="88"/>
      <c r="CI290" s="88"/>
      <c r="CJ290" s="88"/>
      <c r="CK290" s="88"/>
      <c r="CL290" s="88"/>
      <c r="CM290" s="88"/>
      <c r="CN290" s="88"/>
      <c r="CO290" s="88"/>
      <c r="CP290" s="88"/>
      <c r="CQ290" s="88"/>
      <c r="CR290" s="88"/>
      <c r="CS290" s="88"/>
      <c r="CT290" s="88"/>
      <c r="CU290" s="88"/>
    </row>
    <row r="291" spans="1:99">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88"/>
      <c r="BZ291" s="88"/>
      <c r="CA291" s="88"/>
      <c r="CB291" s="88"/>
      <c r="CC291" s="88"/>
      <c r="CD291" s="88"/>
      <c r="CE291" s="88"/>
      <c r="CF291" s="88"/>
      <c r="CG291" s="88"/>
      <c r="CH291" s="88"/>
      <c r="CI291" s="88"/>
      <c r="CJ291" s="88"/>
      <c r="CK291" s="88"/>
      <c r="CL291" s="88"/>
      <c r="CM291" s="88"/>
      <c r="CN291" s="88"/>
      <c r="CO291" s="88"/>
      <c r="CP291" s="88"/>
      <c r="CQ291" s="88"/>
      <c r="CR291" s="88"/>
      <c r="CS291" s="88"/>
      <c r="CT291" s="88"/>
      <c r="CU291" s="88"/>
    </row>
    <row r="292" spans="1:99">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88"/>
      <c r="BZ292" s="88"/>
      <c r="CA292" s="88"/>
      <c r="CB292" s="88"/>
      <c r="CC292" s="88"/>
      <c r="CD292" s="88"/>
      <c r="CE292" s="88"/>
      <c r="CF292" s="88"/>
      <c r="CG292" s="88"/>
      <c r="CH292" s="88"/>
      <c r="CI292" s="88"/>
      <c r="CJ292" s="88"/>
      <c r="CK292" s="88"/>
      <c r="CL292" s="88"/>
      <c r="CM292" s="88"/>
      <c r="CN292" s="88"/>
      <c r="CO292" s="88"/>
      <c r="CP292" s="88"/>
      <c r="CQ292" s="88"/>
      <c r="CR292" s="88"/>
      <c r="CS292" s="88"/>
      <c r="CT292" s="88"/>
      <c r="CU292" s="88"/>
    </row>
    <row r="293" spans="1:99">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88"/>
      <c r="BZ293" s="88"/>
      <c r="CA293" s="88"/>
      <c r="CB293" s="88"/>
      <c r="CC293" s="88"/>
      <c r="CD293" s="88"/>
      <c r="CE293" s="88"/>
      <c r="CF293" s="88"/>
      <c r="CG293" s="88"/>
      <c r="CH293" s="88"/>
      <c r="CI293" s="88"/>
      <c r="CJ293" s="88"/>
      <c r="CK293" s="88"/>
      <c r="CL293" s="88"/>
      <c r="CM293" s="88"/>
      <c r="CN293" s="88"/>
      <c r="CO293" s="88"/>
      <c r="CP293" s="88"/>
      <c r="CQ293" s="88"/>
      <c r="CR293" s="88"/>
      <c r="CS293" s="88"/>
      <c r="CT293" s="88"/>
      <c r="CU293" s="88"/>
    </row>
    <row r="294" spans="1:99">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88"/>
      <c r="BZ294" s="88"/>
      <c r="CA294" s="88"/>
      <c r="CB294" s="88"/>
      <c r="CC294" s="88"/>
      <c r="CD294" s="88"/>
      <c r="CE294" s="88"/>
      <c r="CF294" s="88"/>
      <c r="CG294" s="88"/>
      <c r="CH294" s="88"/>
      <c r="CI294" s="88"/>
      <c r="CJ294" s="88"/>
      <c r="CK294" s="88"/>
      <c r="CL294" s="88"/>
      <c r="CM294" s="88"/>
      <c r="CN294" s="88"/>
      <c r="CO294" s="88"/>
      <c r="CP294" s="88"/>
      <c r="CQ294" s="88"/>
      <c r="CR294" s="88"/>
      <c r="CS294" s="88"/>
      <c r="CT294" s="88"/>
      <c r="CU294" s="88"/>
    </row>
    <row r="295" spans="1:99">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88"/>
      <c r="BZ295" s="88"/>
      <c r="CA295" s="88"/>
      <c r="CB295" s="88"/>
      <c r="CC295" s="88"/>
      <c r="CD295" s="88"/>
      <c r="CE295" s="88"/>
      <c r="CF295" s="88"/>
      <c r="CG295" s="88"/>
      <c r="CH295" s="88"/>
      <c r="CI295" s="88"/>
      <c r="CJ295" s="88"/>
      <c r="CK295" s="88"/>
      <c r="CL295" s="88"/>
      <c r="CM295" s="88"/>
      <c r="CN295" s="88"/>
      <c r="CO295" s="88"/>
      <c r="CP295" s="88"/>
      <c r="CQ295" s="88"/>
      <c r="CR295" s="88"/>
      <c r="CS295" s="88"/>
      <c r="CT295" s="88"/>
      <c r="CU295" s="88"/>
    </row>
    <row r="296" spans="1:99">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88"/>
      <c r="BZ296" s="88"/>
      <c r="CA296" s="88"/>
      <c r="CB296" s="88"/>
      <c r="CC296" s="88"/>
      <c r="CD296" s="88"/>
      <c r="CE296" s="88"/>
      <c r="CF296" s="88"/>
      <c r="CG296" s="88"/>
      <c r="CH296" s="88"/>
      <c r="CI296" s="88"/>
      <c r="CJ296" s="88"/>
      <c r="CK296" s="88"/>
      <c r="CL296" s="88"/>
      <c r="CM296" s="88"/>
      <c r="CN296" s="88"/>
      <c r="CO296" s="88"/>
      <c r="CP296" s="88"/>
      <c r="CQ296" s="88"/>
      <c r="CR296" s="88"/>
      <c r="CS296" s="88"/>
      <c r="CT296" s="88"/>
      <c r="CU296" s="88"/>
    </row>
    <row r="297" spans="1:99">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88"/>
      <c r="BZ297" s="88"/>
      <c r="CA297" s="88"/>
      <c r="CB297" s="88"/>
      <c r="CC297" s="88"/>
      <c r="CD297" s="88"/>
      <c r="CE297" s="88"/>
      <c r="CF297" s="88"/>
      <c r="CG297" s="88"/>
      <c r="CH297" s="88"/>
      <c r="CI297" s="88"/>
      <c r="CJ297" s="88"/>
      <c r="CK297" s="88"/>
      <c r="CL297" s="88"/>
      <c r="CM297" s="88"/>
      <c r="CN297" s="88"/>
      <c r="CO297" s="88"/>
      <c r="CP297" s="88"/>
      <c r="CQ297" s="88"/>
      <c r="CR297" s="88"/>
      <c r="CS297" s="88"/>
      <c r="CT297" s="88"/>
      <c r="CU297" s="88"/>
    </row>
    <row r="298" spans="1:99">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88"/>
      <c r="BZ298" s="88"/>
      <c r="CA298" s="88"/>
      <c r="CB298" s="88"/>
      <c r="CC298" s="88"/>
      <c r="CD298" s="88"/>
      <c r="CE298" s="88"/>
      <c r="CF298" s="88"/>
      <c r="CG298" s="88"/>
      <c r="CH298" s="88"/>
      <c r="CI298" s="88"/>
      <c r="CJ298" s="88"/>
      <c r="CK298" s="88"/>
      <c r="CL298" s="88"/>
      <c r="CM298" s="88"/>
      <c r="CN298" s="88"/>
      <c r="CO298" s="88"/>
      <c r="CP298" s="88"/>
      <c r="CQ298" s="88"/>
      <c r="CR298" s="88"/>
      <c r="CS298" s="88"/>
      <c r="CT298" s="88"/>
      <c r="CU298" s="88"/>
    </row>
    <row r="299" spans="1:99">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88"/>
      <c r="CI299" s="88"/>
      <c r="CJ299" s="88"/>
      <c r="CK299" s="88"/>
      <c r="CL299" s="88"/>
      <c r="CM299" s="88"/>
      <c r="CN299" s="88"/>
      <c r="CO299" s="88"/>
      <c r="CP299" s="88"/>
      <c r="CQ299" s="88"/>
      <c r="CR299" s="88"/>
      <c r="CS299" s="88"/>
      <c r="CT299" s="88"/>
      <c r="CU299" s="88"/>
    </row>
    <row r="300" spans="1:99">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88"/>
      <c r="BZ300" s="88"/>
      <c r="CA300" s="88"/>
      <c r="CB300" s="88"/>
      <c r="CC300" s="88"/>
      <c r="CD300" s="88"/>
      <c r="CE300" s="88"/>
      <c r="CF300" s="88"/>
      <c r="CG300" s="88"/>
      <c r="CH300" s="88"/>
      <c r="CI300" s="88"/>
      <c r="CJ300" s="88"/>
      <c r="CK300" s="88"/>
      <c r="CL300" s="88"/>
      <c r="CM300" s="88"/>
      <c r="CN300" s="88"/>
      <c r="CO300" s="88"/>
      <c r="CP300" s="88"/>
      <c r="CQ300" s="88"/>
      <c r="CR300" s="88"/>
      <c r="CS300" s="88"/>
      <c r="CT300" s="88"/>
      <c r="CU300" s="88"/>
    </row>
    <row r="301" spans="1:99">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88"/>
      <c r="BZ301" s="88"/>
      <c r="CA301" s="88"/>
      <c r="CB301" s="88"/>
      <c r="CC301" s="88"/>
      <c r="CD301" s="88"/>
      <c r="CE301" s="88"/>
      <c r="CF301" s="88"/>
      <c r="CG301" s="88"/>
      <c r="CH301" s="88"/>
      <c r="CI301" s="88"/>
      <c r="CJ301" s="88"/>
      <c r="CK301" s="88"/>
      <c r="CL301" s="88"/>
      <c r="CM301" s="88"/>
      <c r="CN301" s="88"/>
      <c r="CO301" s="88"/>
      <c r="CP301" s="88"/>
      <c r="CQ301" s="88"/>
      <c r="CR301" s="88"/>
      <c r="CS301" s="88"/>
      <c r="CT301" s="88"/>
      <c r="CU301" s="88"/>
    </row>
    <row r="302" spans="1:99">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88"/>
      <c r="BZ302" s="88"/>
      <c r="CA302" s="88"/>
      <c r="CB302" s="88"/>
      <c r="CC302" s="88"/>
      <c r="CD302" s="88"/>
      <c r="CE302" s="88"/>
      <c r="CF302" s="88"/>
      <c r="CG302" s="88"/>
      <c r="CH302" s="88"/>
      <c r="CI302" s="88"/>
      <c r="CJ302" s="88"/>
      <c r="CK302" s="88"/>
      <c r="CL302" s="88"/>
      <c r="CM302" s="88"/>
      <c r="CN302" s="88"/>
      <c r="CO302" s="88"/>
      <c r="CP302" s="88"/>
      <c r="CQ302" s="88"/>
      <c r="CR302" s="88"/>
      <c r="CS302" s="88"/>
      <c r="CT302" s="88"/>
      <c r="CU302" s="88"/>
    </row>
    <row r="303" spans="1:99">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88"/>
      <c r="BZ303" s="88"/>
      <c r="CA303" s="88"/>
      <c r="CB303" s="88"/>
      <c r="CC303" s="88"/>
      <c r="CD303" s="88"/>
      <c r="CE303" s="88"/>
      <c r="CF303" s="88"/>
      <c r="CG303" s="88"/>
      <c r="CH303" s="88"/>
      <c r="CI303" s="88"/>
      <c r="CJ303" s="88"/>
      <c r="CK303" s="88"/>
      <c r="CL303" s="88"/>
      <c r="CM303" s="88"/>
      <c r="CN303" s="88"/>
      <c r="CO303" s="88"/>
      <c r="CP303" s="88"/>
      <c r="CQ303" s="88"/>
      <c r="CR303" s="88"/>
      <c r="CS303" s="88"/>
      <c r="CT303" s="88"/>
      <c r="CU303" s="88"/>
    </row>
    <row r="304" spans="1:99">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88"/>
      <c r="BZ304" s="88"/>
      <c r="CA304" s="88"/>
      <c r="CB304" s="88"/>
      <c r="CC304" s="88"/>
      <c r="CD304" s="88"/>
      <c r="CE304" s="88"/>
      <c r="CF304" s="88"/>
      <c r="CG304" s="88"/>
      <c r="CH304" s="88"/>
      <c r="CI304" s="88"/>
      <c r="CJ304" s="88"/>
      <c r="CK304" s="88"/>
      <c r="CL304" s="88"/>
      <c r="CM304" s="88"/>
      <c r="CN304" s="88"/>
      <c r="CO304" s="88"/>
      <c r="CP304" s="88"/>
      <c r="CQ304" s="88"/>
      <c r="CR304" s="88"/>
      <c r="CS304" s="88"/>
      <c r="CT304" s="88"/>
      <c r="CU304" s="88"/>
    </row>
    <row r="305" spans="1:99">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88"/>
      <c r="BZ305" s="88"/>
      <c r="CA305" s="88"/>
      <c r="CB305" s="88"/>
      <c r="CC305" s="88"/>
      <c r="CD305" s="88"/>
      <c r="CE305" s="88"/>
      <c r="CF305" s="88"/>
      <c r="CG305" s="88"/>
      <c r="CH305" s="88"/>
      <c r="CI305" s="88"/>
      <c r="CJ305" s="88"/>
      <c r="CK305" s="88"/>
      <c r="CL305" s="88"/>
      <c r="CM305" s="88"/>
      <c r="CN305" s="88"/>
      <c r="CO305" s="88"/>
      <c r="CP305" s="88"/>
      <c r="CQ305" s="88"/>
      <c r="CR305" s="88"/>
      <c r="CS305" s="88"/>
      <c r="CT305" s="88"/>
      <c r="CU305" s="88"/>
    </row>
    <row r="306" spans="1:99">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88"/>
      <c r="BZ306" s="88"/>
      <c r="CA306" s="88"/>
      <c r="CB306" s="88"/>
      <c r="CC306" s="88"/>
      <c r="CD306" s="88"/>
      <c r="CE306" s="88"/>
      <c r="CF306" s="88"/>
      <c r="CG306" s="88"/>
      <c r="CH306" s="88"/>
      <c r="CI306" s="88"/>
      <c r="CJ306" s="88"/>
      <c r="CK306" s="88"/>
      <c r="CL306" s="88"/>
      <c r="CM306" s="88"/>
      <c r="CN306" s="88"/>
      <c r="CO306" s="88"/>
      <c r="CP306" s="88"/>
      <c r="CQ306" s="88"/>
      <c r="CR306" s="88"/>
      <c r="CS306" s="88"/>
      <c r="CT306" s="88"/>
      <c r="CU306" s="88"/>
    </row>
    <row r="307" spans="1:99">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88"/>
      <c r="BZ307" s="88"/>
      <c r="CA307" s="88"/>
      <c r="CB307" s="88"/>
      <c r="CC307" s="88"/>
      <c r="CD307" s="88"/>
      <c r="CE307" s="88"/>
      <c r="CF307" s="88"/>
      <c r="CG307" s="88"/>
      <c r="CH307" s="88"/>
      <c r="CI307" s="88"/>
      <c r="CJ307" s="88"/>
      <c r="CK307" s="88"/>
      <c r="CL307" s="88"/>
      <c r="CM307" s="88"/>
      <c r="CN307" s="88"/>
      <c r="CO307" s="88"/>
      <c r="CP307" s="88"/>
      <c r="CQ307" s="88"/>
      <c r="CR307" s="88"/>
      <c r="CS307" s="88"/>
      <c r="CT307" s="88"/>
      <c r="CU307" s="88"/>
    </row>
    <row r="308" spans="1:99">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88"/>
      <c r="BZ308" s="88"/>
      <c r="CA308" s="88"/>
      <c r="CB308" s="88"/>
      <c r="CC308" s="88"/>
      <c r="CD308" s="88"/>
      <c r="CE308" s="88"/>
      <c r="CF308" s="88"/>
      <c r="CG308" s="88"/>
      <c r="CH308" s="88"/>
      <c r="CI308" s="88"/>
      <c r="CJ308" s="88"/>
      <c r="CK308" s="88"/>
      <c r="CL308" s="88"/>
      <c r="CM308" s="88"/>
      <c r="CN308" s="88"/>
      <c r="CO308" s="88"/>
      <c r="CP308" s="88"/>
      <c r="CQ308" s="88"/>
      <c r="CR308" s="88"/>
      <c r="CS308" s="88"/>
      <c r="CT308" s="88"/>
      <c r="CU308" s="88"/>
    </row>
    <row r="309" spans="1:99">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88"/>
      <c r="BZ309" s="88"/>
      <c r="CA309" s="88"/>
      <c r="CB309" s="88"/>
      <c r="CC309" s="88"/>
      <c r="CD309" s="88"/>
      <c r="CE309" s="88"/>
      <c r="CF309" s="88"/>
      <c r="CG309" s="88"/>
      <c r="CH309" s="88"/>
      <c r="CI309" s="88"/>
      <c r="CJ309" s="88"/>
      <c r="CK309" s="88"/>
      <c r="CL309" s="88"/>
      <c r="CM309" s="88"/>
      <c r="CN309" s="88"/>
      <c r="CO309" s="88"/>
      <c r="CP309" s="88"/>
      <c r="CQ309" s="88"/>
      <c r="CR309" s="88"/>
      <c r="CS309" s="88"/>
      <c r="CT309" s="88"/>
      <c r="CU309" s="88"/>
    </row>
    <row r="310" spans="1:99">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88"/>
      <c r="BZ310" s="88"/>
      <c r="CA310" s="88"/>
      <c r="CB310" s="88"/>
      <c r="CC310" s="88"/>
      <c r="CD310" s="88"/>
      <c r="CE310" s="88"/>
      <c r="CF310" s="88"/>
      <c r="CG310" s="88"/>
      <c r="CH310" s="88"/>
      <c r="CI310" s="88"/>
      <c r="CJ310" s="88"/>
      <c r="CK310" s="88"/>
      <c r="CL310" s="88"/>
      <c r="CM310" s="88"/>
      <c r="CN310" s="88"/>
      <c r="CO310" s="88"/>
      <c r="CP310" s="88"/>
      <c r="CQ310" s="88"/>
      <c r="CR310" s="88"/>
      <c r="CS310" s="88"/>
      <c r="CT310" s="88"/>
      <c r="CU310" s="88"/>
    </row>
    <row r="311" spans="1:99">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88"/>
      <c r="BZ311" s="88"/>
      <c r="CA311" s="88"/>
      <c r="CB311" s="88"/>
      <c r="CC311" s="88"/>
      <c r="CD311" s="88"/>
      <c r="CE311" s="88"/>
      <c r="CF311" s="88"/>
      <c r="CG311" s="88"/>
      <c r="CH311" s="88"/>
      <c r="CI311" s="88"/>
      <c r="CJ311" s="88"/>
      <c r="CK311" s="88"/>
      <c r="CL311" s="88"/>
      <c r="CM311" s="88"/>
      <c r="CN311" s="88"/>
      <c r="CO311" s="88"/>
      <c r="CP311" s="88"/>
      <c r="CQ311" s="88"/>
      <c r="CR311" s="88"/>
      <c r="CS311" s="88"/>
      <c r="CT311" s="88"/>
      <c r="CU311" s="88"/>
    </row>
    <row r="312" spans="1:99">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88"/>
      <c r="BZ312" s="88"/>
      <c r="CA312" s="88"/>
      <c r="CB312" s="88"/>
      <c r="CC312" s="88"/>
      <c r="CD312" s="88"/>
      <c r="CE312" s="88"/>
      <c r="CF312" s="88"/>
      <c r="CG312" s="88"/>
      <c r="CH312" s="88"/>
      <c r="CI312" s="88"/>
      <c r="CJ312" s="88"/>
      <c r="CK312" s="88"/>
      <c r="CL312" s="88"/>
      <c r="CM312" s="88"/>
      <c r="CN312" s="88"/>
      <c r="CO312" s="88"/>
      <c r="CP312" s="88"/>
      <c r="CQ312" s="88"/>
      <c r="CR312" s="88"/>
      <c r="CS312" s="88"/>
      <c r="CT312" s="88"/>
      <c r="CU312" s="88"/>
    </row>
    <row r="313" spans="1:99">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88"/>
      <c r="BZ313" s="88"/>
      <c r="CA313" s="88"/>
      <c r="CB313" s="88"/>
      <c r="CC313" s="88"/>
      <c r="CD313" s="88"/>
      <c r="CE313" s="88"/>
      <c r="CF313" s="88"/>
      <c r="CG313" s="88"/>
      <c r="CH313" s="88"/>
      <c r="CI313" s="88"/>
      <c r="CJ313" s="88"/>
      <c r="CK313" s="88"/>
      <c r="CL313" s="88"/>
      <c r="CM313" s="88"/>
      <c r="CN313" s="88"/>
      <c r="CO313" s="88"/>
      <c r="CP313" s="88"/>
      <c r="CQ313" s="88"/>
      <c r="CR313" s="88"/>
      <c r="CS313" s="88"/>
      <c r="CT313" s="88"/>
      <c r="CU313" s="88"/>
    </row>
    <row r="314" spans="1:99">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88"/>
      <c r="BZ314" s="88"/>
      <c r="CA314" s="88"/>
      <c r="CB314" s="88"/>
      <c r="CC314" s="88"/>
      <c r="CD314" s="88"/>
      <c r="CE314" s="88"/>
      <c r="CF314" s="88"/>
      <c r="CG314" s="88"/>
      <c r="CH314" s="88"/>
      <c r="CI314" s="88"/>
      <c r="CJ314" s="88"/>
      <c r="CK314" s="88"/>
      <c r="CL314" s="88"/>
      <c r="CM314" s="88"/>
      <c r="CN314" s="88"/>
      <c r="CO314" s="88"/>
      <c r="CP314" s="88"/>
      <c r="CQ314" s="88"/>
      <c r="CR314" s="88"/>
      <c r="CS314" s="88"/>
      <c r="CT314" s="88"/>
      <c r="CU314" s="88"/>
    </row>
    <row r="315" spans="1:99">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88"/>
      <c r="BZ315" s="88"/>
      <c r="CA315" s="88"/>
      <c r="CB315" s="88"/>
      <c r="CC315" s="88"/>
      <c r="CD315" s="88"/>
      <c r="CE315" s="88"/>
      <c r="CF315" s="88"/>
      <c r="CG315" s="88"/>
      <c r="CH315" s="88"/>
      <c r="CI315" s="88"/>
      <c r="CJ315" s="88"/>
      <c r="CK315" s="88"/>
      <c r="CL315" s="88"/>
      <c r="CM315" s="88"/>
      <c r="CN315" s="88"/>
      <c r="CO315" s="88"/>
      <c r="CP315" s="88"/>
      <c r="CQ315" s="88"/>
      <c r="CR315" s="88"/>
      <c r="CS315" s="88"/>
      <c r="CT315" s="88"/>
      <c r="CU315" s="88"/>
    </row>
    <row r="316" spans="1:99">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88"/>
      <c r="BZ316" s="88"/>
      <c r="CA316" s="88"/>
      <c r="CB316" s="88"/>
      <c r="CC316" s="88"/>
      <c r="CD316" s="88"/>
      <c r="CE316" s="88"/>
      <c r="CF316" s="88"/>
      <c r="CG316" s="88"/>
      <c r="CH316" s="88"/>
      <c r="CI316" s="88"/>
      <c r="CJ316" s="88"/>
      <c r="CK316" s="88"/>
      <c r="CL316" s="88"/>
      <c r="CM316" s="88"/>
      <c r="CN316" s="88"/>
      <c r="CO316" s="88"/>
      <c r="CP316" s="88"/>
      <c r="CQ316" s="88"/>
      <c r="CR316" s="88"/>
      <c r="CS316" s="88"/>
      <c r="CT316" s="88"/>
      <c r="CU316" s="88"/>
    </row>
    <row r="317" spans="1:99">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88"/>
      <c r="BZ317" s="88"/>
      <c r="CA317" s="88"/>
      <c r="CB317" s="88"/>
      <c r="CC317" s="88"/>
      <c r="CD317" s="88"/>
      <c r="CE317" s="88"/>
      <c r="CF317" s="88"/>
      <c r="CG317" s="88"/>
      <c r="CH317" s="88"/>
      <c r="CI317" s="88"/>
      <c r="CJ317" s="88"/>
      <c r="CK317" s="88"/>
      <c r="CL317" s="88"/>
      <c r="CM317" s="88"/>
      <c r="CN317" s="88"/>
      <c r="CO317" s="88"/>
      <c r="CP317" s="88"/>
      <c r="CQ317" s="88"/>
      <c r="CR317" s="88"/>
      <c r="CS317" s="88"/>
      <c r="CT317" s="88"/>
      <c r="CU317" s="88"/>
    </row>
    <row r="318" spans="1:99">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88"/>
      <c r="BZ318" s="88"/>
      <c r="CA318" s="88"/>
      <c r="CB318" s="88"/>
      <c r="CC318" s="88"/>
      <c r="CD318" s="88"/>
      <c r="CE318" s="88"/>
      <c r="CF318" s="88"/>
      <c r="CG318" s="88"/>
      <c r="CH318" s="88"/>
      <c r="CI318" s="88"/>
      <c r="CJ318" s="88"/>
      <c r="CK318" s="88"/>
      <c r="CL318" s="88"/>
      <c r="CM318" s="88"/>
      <c r="CN318" s="88"/>
      <c r="CO318" s="88"/>
      <c r="CP318" s="88"/>
      <c r="CQ318" s="88"/>
      <c r="CR318" s="88"/>
      <c r="CS318" s="88"/>
      <c r="CT318" s="88"/>
      <c r="CU318" s="88"/>
    </row>
    <row r="319" spans="1:99">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88"/>
      <c r="BZ319" s="88"/>
      <c r="CA319" s="88"/>
      <c r="CB319" s="88"/>
      <c r="CC319" s="88"/>
      <c r="CD319" s="88"/>
      <c r="CE319" s="88"/>
      <c r="CF319" s="88"/>
      <c r="CG319" s="88"/>
      <c r="CH319" s="88"/>
      <c r="CI319" s="88"/>
      <c r="CJ319" s="88"/>
      <c r="CK319" s="88"/>
      <c r="CL319" s="88"/>
      <c r="CM319" s="88"/>
      <c r="CN319" s="88"/>
      <c r="CO319" s="88"/>
      <c r="CP319" s="88"/>
      <c r="CQ319" s="88"/>
      <c r="CR319" s="88"/>
      <c r="CS319" s="88"/>
      <c r="CT319" s="88"/>
      <c r="CU319" s="88"/>
    </row>
    <row r="320" spans="1:99">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88"/>
      <c r="BZ320" s="88"/>
      <c r="CA320" s="88"/>
      <c r="CB320" s="88"/>
      <c r="CC320" s="88"/>
      <c r="CD320" s="88"/>
      <c r="CE320" s="88"/>
      <c r="CF320" s="88"/>
      <c r="CG320" s="88"/>
      <c r="CH320" s="88"/>
      <c r="CI320" s="88"/>
      <c r="CJ320" s="88"/>
      <c r="CK320" s="88"/>
      <c r="CL320" s="88"/>
      <c r="CM320" s="88"/>
      <c r="CN320" s="88"/>
      <c r="CO320" s="88"/>
      <c r="CP320" s="88"/>
      <c r="CQ320" s="88"/>
      <c r="CR320" s="88"/>
      <c r="CS320" s="88"/>
      <c r="CT320" s="88"/>
      <c r="CU320" s="88"/>
    </row>
    <row r="321" spans="1:99">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88"/>
      <c r="BZ321" s="88"/>
      <c r="CA321" s="88"/>
      <c r="CB321" s="88"/>
      <c r="CC321" s="88"/>
      <c r="CD321" s="88"/>
      <c r="CE321" s="88"/>
      <c r="CF321" s="88"/>
      <c r="CG321" s="88"/>
      <c r="CH321" s="88"/>
      <c r="CI321" s="88"/>
      <c r="CJ321" s="88"/>
      <c r="CK321" s="88"/>
      <c r="CL321" s="88"/>
      <c r="CM321" s="88"/>
      <c r="CN321" s="88"/>
      <c r="CO321" s="88"/>
      <c r="CP321" s="88"/>
      <c r="CQ321" s="88"/>
      <c r="CR321" s="88"/>
      <c r="CS321" s="88"/>
      <c r="CT321" s="88"/>
      <c r="CU321" s="88"/>
    </row>
    <row r="322" spans="1:99">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88"/>
      <c r="BZ322" s="88"/>
      <c r="CA322" s="88"/>
      <c r="CB322" s="88"/>
      <c r="CC322" s="88"/>
      <c r="CD322" s="88"/>
      <c r="CE322" s="88"/>
      <c r="CF322" s="88"/>
      <c r="CG322" s="88"/>
      <c r="CH322" s="88"/>
      <c r="CI322" s="88"/>
      <c r="CJ322" s="88"/>
      <c r="CK322" s="88"/>
      <c r="CL322" s="88"/>
      <c r="CM322" s="88"/>
      <c r="CN322" s="88"/>
      <c r="CO322" s="88"/>
      <c r="CP322" s="88"/>
      <c r="CQ322" s="88"/>
      <c r="CR322" s="88"/>
      <c r="CS322" s="88"/>
      <c r="CT322" s="88"/>
      <c r="CU322" s="88"/>
    </row>
    <row r="323" spans="1:99">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88"/>
      <c r="BZ323" s="88"/>
      <c r="CA323" s="88"/>
      <c r="CB323" s="88"/>
      <c r="CC323" s="88"/>
      <c r="CD323" s="88"/>
      <c r="CE323" s="88"/>
      <c r="CF323" s="88"/>
      <c r="CG323" s="88"/>
      <c r="CH323" s="88"/>
      <c r="CI323" s="88"/>
      <c r="CJ323" s="88"/>
      <c r="CK323" s="88"/>
      <c r="CL323" s="88"/>
      <c r="CM323" s="88"/>
      <c r="CN323" s="88"/>
      <c r="CO323" s="88"/>
      <c r="CP323" s="88"/>
      <c r="CQ323" s="88"/>
      <c r="CR323" s="88"/>
      <c r="CS323" s="88"/>
      <c r="CT323" s="88"/>
      <c r="CU323" s="88"/>
    </row>
    <row r="324" spans="1:99">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88"/>
      <c r="BZ324" s="88"/>
      <c r="CA324" s="88"/>
      <c r="CB324" s="88"/>
      <c r="CC324" s="88"/>
      <c r="CD324" s="88"/>
      <c r="CE324" s="88"/>
      <c r="CF324" s="88"/>
      <c r="CG324" s="88"/>
      <c r="CH324" s="88"/>
      <c r="CI324" s="88"/>
      <c r="CJ324" s="88"/>
      <c r="CK324" s="88"/>
      <c r="CL324" s="88"/>
      <c r="CM324" s="88"/>
      <c r="CN324" s="88"/>
      <c r="CO324" s="88"/>
      <c r="CP324" s="88"/>
      <c r="CQ324" s="88"/>
      <c r="CR324" s="88"/>
      <c r="CS324" s="88"/>
      <c r="CT324" s="88"/>
      <c r="CU324" s="88"/>
    </row>
    <row r="325" spans="1:99">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88"/>
      <c r="BZ325" s="88"/>
      <c r="CA325" s="88"/>
      <c r="CB325" s="88"/>
      <c r="CC325" s="88"/>
      <c r="CD325" s="88"/>
      <c r="CE325" s="88"/>
      <c r="CF325" s="88"/>
      <c r="CG325" s="88"/>
      <c r="CH325" s="88"/>
      <c r="CI325" s="88"/>
      <c r="CJ325" s="88"/>
      <c r="CK325" s="88"/>
      <c r="CL325" s="88"/>
      <c r="CM325" s="88"/>
      <c r="CN325" s="88"/>
      <c r="CO325" s="88"/>
      <c r="CP325" s="88"/>
      <c r="CQ325" s="88"/>
      <c r="CR325" s="88"/>
      <c r="CS325" s="88"/>
      <c r="CT325" s="88"/>
      <c r="CU325" s="88"/>
    </row>
    <row r="326" spans="1:99">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88"/>
      <c r="BZ326" s="88"/>
      <c r="CA326" s="88"/>
      <c r="CB326" s="88"/>
      <c r="CC326" s="88"/>
      <c r="CD326" s="88"/>
      <c r="CE326" s="88"/>
      <c r="CF326" s="88"/>
      <c r="CG326" s="88"/>
      <c r="CH326" s="88"/>
      <c r="CI326" s="88"/>
      <c r="CJ326" s="88"/>
      <c r="CK326" s="88"/>
      <c r="CL326" s="88"/>
      <c r="CM326" s="88"/>
      <c r="CN326" s="88"/>
      <c r="CO326" s="88"/>
      <c r="CP326" s="88"/>
      <c r="CQ326" s="88"/>
      <c r="CR326" s="88"/>
      <c r="CS326" s="88"/>
      <c r="CT326" s="88"/>
      <c r="CU326" s="88"/>
    </row>
    <row r="327" spans="1:99">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88"/>
      <c r="BZ327" s="88"/>
      <c r="CA327" s="88"/>
      <c r="CB327" s="88"/>
      <c r="CC327" s="88"/>
      <c r="CD327" s="88"/>
      <c r="CE327" s="88"/>
      <c r="CF327" s="88"/>
      <c r="CG327" s="88"/>
      <c r="CH327" s="88"/>
      <c r="CI327" s="88"/>
      <c r="CJ327" s="88"/>
      <c r="CK327" s="88"/>
      <c r="CL327" s="88"/>
      <c r="CM327" s="88"/>
      <c r="CN327" s="88"/>
      <c r="CO327" s="88"/>
      <c r="CP327" s="88"/>
      <c r="CQ327" s="88"/>
      <c r="CR327" s="88"/>
      <c r="CS327" s="88"/>
      <c r="CT327" s="88"/>
      <c r="CU327" s="88"/>
    </row>
    <row r="328" spans="1:99">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88"/>
      <c r="BZ328" s="88"/>
      <c r="CA328" s="88"/>
      <c r="CB328" s="88"/>
      <c r="CC328" s="88"/>
      <c r="CD328" s="88"/>
      <c r="CE328" s="88"/>
      <c r="CF328" s="88"/>
      <c r="CG328" s="88"/>
      <c r="CH328" s="88"/>
      <c r="CI328" s="88"/>
      <c r="CJ328" s="88"/>
      <c r="CK328" s="88"/>
      <c r="CL328" s="88"/>
      <c r="CM328" s="88"/>
      <c r="CN328" s="88"/>
      <c r="CO328" s="88"/>
      <c r="CP328" s="88"/>
      <c r="CQ328" s="88"/>
      <c r="CR328" s="88"/>
      <c r="CS328" s="88"/>
      <c r="CT328" s="88"/>
      <c r="CU328" s="88"/>
    </row>
    <row r="329" spans="1:99">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88"/>
      <c r="BZ329" s="88"/>
      <c r="CA329" s="88"/>
      <c r="CB329" s="88"/>
      <c r="CC329" s="88"/>
      <c r="CD329" s="88"/>
      <c r="CE329" s="88"/>
      <c r="CF329" s="88"/>
      <c r="CG329" s="88"/>
      <c r="CH329" s="88"/>
      <c r="CI329" s="88"/>
      <c r="CJ329" s="88"/>
      <c r="CK329" s="88"/>
      <c r="CL329" s="88"/>
      <c r="CM329" s="88"/>
      <c r="CN329" s="88"/>
      <c r="CO329" s="88"/>
      <c r="CP329" s="88"/>
      <c r="CQ329" s="88"/>
      <c r="CR329" s="88"/>
      <c r="CS329" s="88"/>
      <c r="CT329" s="88"/>
      <c r="CU329" s="88"/>
    </row>
    <row r="330" spans="1:99">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88"/>
      <c r="BZ330" s="88"/>
      <c r="CA330" s="88"/>
      <c r="CB330" s="88"/>
      <c r="CC330" s="88"/>
      <c r="CD330" s="88"/>
      <c r="CE330" s="88"/>
      <c r="CF330" s="88"/>
      <c r="CG330" s="88"/>
      <c r="CH330" s="88"/>
      <c r="CI330" s="88"/>
      <c r="CJ330" s="88"/>
      <c r="CK330" s="88"/>
      <c r="CL330" s="88"/>
      <c r="CM330" s="88"/>
      <c r="CN330" s="88"/>
      <c r="CO330" s="88"/>
      <c r="CP330" s="88"/>
      <c r="CQ330" s="88"/>
      <c r="CR330" s="88"/>
      <c r="CS330" s="88"/>
      <c r="CT330" s="88"/>
      <c r="CU330" s="88"/>
    </row>
    <row r="331" spans="1:99">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88"/>
      <c r="BZ331" s="88"/>
      <c r="CA331" s="88"/>
      <c r="CB331" s="88"/>
      <c r="CC331" s="88"/>
      <c r="CD331" s="88"/>
      <c r="CE331" s="88"/>
      <c r="CF331" s="88"/>
      <c r="CG331" s="88"/>
      <c r="CH331" s="88"/>
      <c r="CI331" s="88"/>
      <c r="CJ331" s="88"/>
      <c r="CK331" s="88"/>
      <c r="CL331" s="88"/>
      <c r="CM331" s="88"/>
      <c r="CN331" s="88"/>
      <c r="CO331" s="88"/>
      <c r="CP331" s="88"/>
      <c r="CQ331" s="88"/>
      <c r="CR331" s="88"/>
      <c r="CS331" s="88"/>
      <c r="CT331" s="88"/>
      <c r="CU331" s="88"/>
    </row>
    <row r="332" spans="1:99">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88"/>
      <c r="BZ332" s="88"/>
      <c r="CA332" s="88"/>
      <c r="CB332" s="88"/>
      <c r="CC332" s="88"/>
      <c r="CD332" s="88"/>
      <c r="CE332" s="88"/>
      <c r="CF332" s="88"/>
      <c r="CG332" s="88"/>
      <c r="CH332" s="88"/>
      <c r="CI332" s="88"/>
      <c r="CJ332" s="88"/>
      <c r="CK332" s="88"/>
      <c r="CL332" s="88"/>
      <c r="CM332" s="88"/>
      <c r="CN332" s="88"/>
      <c r="CO332" s="88"/>
      <c r="CP332" s="88"/>
      <c r="CQ332" s="88"/>
      <c r="CR332" s="88"/>
      <c r="CS332" s="88"/>
      <c r="CT332" s="88"/>
      <c r="CU332" s="88"/>
    </row>
    <row r="333" spans="1:99">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88"/>
      <c r="BZ333" s="88"/>
      <c r="CA333" s="88"/>
      <c r="CB333" s="88"/>
      <c r="CC333" s="88"/>
      <c r="CD333" s="88"/>
      <c r="CE333" s="88"/>
      <c r="CF333" s="88"/>
      <c r="CG333" s="88"/>
      <c r="CH333" s="88"/>
      <c r="CI333" s="88"/>
      <c r="CJ333" s="88"/>
      <c r="CK333" s="88"/>
      <c r="CL333" s="88"/>
      <c r="CM333" s="88"/>
      <c r="CN333" s="88"/>
      <c r="CO333" s="88"/>
      <c r="CP333" s="88"/>
      <c r="CQ333" s="88"/>
      <c r="CR333" s="88"/>
      <c r="CS333" s="88"/>
      <c r="CT333" s="88"/>
      <c r="CU333" s="88"/>
    </row>
    <row r="334" spans="1:99">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88"/>
      <c r="BZ334" s="88"/>
      <c r="CA334" s="88"/>
      <c r="CB334" s="88"/>
      <c r="CC334" s="88"/>
      <c r="CD334" s="88"/>
      <c r="CE334" s="88"/>
      <c r="CF334" s="88"/>
      <c r="CG334" s="88"/>
      <c r="CH334" s="88"/>
      <c r="CI334" s="88"/>
      <c r="CJ334" s="88"/>
      <c r="CK334" s="88"/>
      <c r="CL334" s="88"/>
      <c r="CM334" s="88"/>
      <c r="CN334" s="88"/>
      <c r="CO334" s="88"/>
      <c r="CP334" s="88"/>
      <c r="CQ334" s="88"/>
      <c r="CR334" s="88"/>
      <c r="CS334" s="88"/>
      <c r="CT334" s="88"/>
      <c r="CU334" s="88"/>
    </row>
    <row r="335" spans="1:99">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88"/>
      <c r="BZ335" s="88"/>
      <c r="CA335" s="88"/>
      <c r="CB335" s="88"/>
      <c r="CC335" s="88"/>
      <c r="CD335" s="88"/>
      <c r="CE335" s="88"/>
      <c r="CF335" s="88"/>
      <c r="CG335" s="88"/>
      <c r="CH335" s="88"/>
      <c r="CI335" s="88"/>
      <c r="CJ335" s="88"/>
      <c r="CK335" s="88"/>
      <c r="CL335" s="88"/>
      <c r="CM335" s="88"/>
      <c r="CN335" s="88"/>
      <c r="CO335" s="88"/>
      <c r="CP335" s="88"/>
      <c r="CQ335" s="88"/>
      <c r="CR335" s="88"/>
      <c r="CS335" s="88"/>
      <c r="CT335" s="88"/>
      <c r="CU335" s="88"/>
    </row>
    <row r="336" spans="1:99">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88"/>
      <c r="BZ336" s="88"/>
      <c r="CA336" s="88"/>
      <c r="CB336" s="88"/>
      <c r="CC336" s="88"/>
      <c r="CD336" s="88"/>
      <c r="CE336" s="88"/>
      <c r="CF336" s="88"/>
      <c r="CG336" s="88"/>
      <c r="CH336" s="88"/>
      <c r="CI336" s="88"/>
      <c r="CJ336" s="88"/>
      <c r="CK336" s="88"/>
      <c r="CL336" s="88"/>
      <c r="CM336" s="88"/>
      <c r="CN336" s="88"/>
      <c r="CO336" s="88"/>
      <c r="CP336" s="88"/>
      <c r="CQ336" s="88"/>
      <c r="CR336" s="88"/>
      <c r="CS336" s="88"/>
      <c r="CT336" s="88"/>
      <c r="CU336" s="88"/>
    </row>
    <row r="337" spans="1:99">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88"/>
      <c r="BZ337" s="88"/>
      <c r="CA337" s="88"/>
      <c r="CB337" s="88"/>
      <c r="CC337" s="88"/>
      <c r="CD337" s="88"/>
      <c r="CE337" s="88"/>
      <c r="CF337" s="88"/>
      <c r="CG337" s="88"/>
      <c r="CH337" s="88"/>
      <c r="CI337" s="88"/>
      <c r="CJ337" s="88"/>
      <c r="CK337" s="88"/>
      <c r="CL337" s="88"/>
      <c r="CM337" s="88"/>
      <c r="CN337" s="88"/>
      <c r="CO337" s="88"/>
      <c r="CP337" s="88"/>
      <c r="CQ337" s="88"/>
      <c r="CR337" s="88"/>
      <c r="CS337" s="88"/>
      <c r="CT337" s="88"/>
      <c r="CU337" s="88"/>
    </row>
    <row r="338" spans="1:99">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88"/>
      <c r="BZ338" s="88"/>
      <c r="CA338" s="88"/>
      <c r="CB338" s="88"/>
      <c r="CC338" s="88"/>
      <c r="CD338" s="88"/>
      <c r="CE338" s="88"/>
      <c r="CF338" s="88"/>
      <c r="CG338" s="88"/>
      <c r="CH338" s="88"/>
      <c r="CI338" s="88"/>
      <c r="CJ338" s="88"/>
      <c r="CK338" s="88"/>
      <c r="CL338" s="88"/>
      <c r="CM338" s="88"/>
      <c r="CN338" s="88"/>
      <c r="CO338" s="88"/>
      <c r="CP338" s="88"/>
      <c r="CQ338" s="88"/>
      <c r="CR338" s="88"/>
      <c r="CS338" s="88"/>
      <c r="CT338" s="88"/>
      <c r="CU338" s="88"/>
    </row>
    <row r="339" spans="1:99">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88"/>
      <c r="BZ339" s="88"/>
      <c r="CA339" s="88"/>
      <c r="CB339" s="88"/>
      <c r="CC339" s="88"/>
      <c r="CD339" s="88"/>
      <c r="CE339" s="88"/>
      <c r="CF339" s="88"/>
      <c r="CG339" s="88"/>
      <c r="CH339" s="88"/>
      <c r="CI339" s="88"/>
      <c r="CJ339" s="88"/>
      <c r="CK339" s="88"/>
      <c r="CL339" s="88"/>
      <c r="CM339" s="88"/>
      <c r="CN339" s="88"/>
      <c r="CO339" s="88"/>
      <c r="CP339" s="88"/>
      <c r="CQ339" s="88"/>
      <c r="CR339" s="88"/>
      <c r="CS339" s="88"/>
      <c r="CT339" s="88"/>
      <c r="CU339" s="88"/>
    </row>
    <row r="340" spans="1:99">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88"/>
      <c r="BZ340" s="88"/>
      <c r="CA340" s="88"/>
      <c r="CB340" s="88"/>
      <c r="CC340" s="88"/>
      <c r="CD340" s="88"/>
      <c r="CE340" s="88"/>
      <c r="CF340" s="88"/>
      <c r="CG340" s="88"/>
      <c r="CH340" s="88"/>
      <c r="CI340" s="88"/>
      <c r="CJ340" s="88"/>
      <c r="CK340" s="88"/>
      <c r="CL340" s="88"/>
      <c r="CM340" s="88"/>
      <c r="CN340" s="88"/>
      <c r="CO340" s="88"/>
      <c r="CP340" s="88"/>
      <c r="CQ340" s="88"/>
      <c r="CR340" s="88"/>
      <c r="CS340" s="88"/>
      <c r="CT340" s="88"/>
      <c r="CU340" s="88"/>
    </row>
    <row r="341" spans="1:99">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88"/>
      <c r="BZ341" s="88"/>
      <c r="CA341" s="88"/>
      <c r="CB341" s="88"/>
      <c r="CC341" s="88"/>
      <c r="CD341" s="88"/>
      <c r="CE341" s="88"/>
      <c r="CF341" s="88"/>
      <c r="CG341" s="88"/>
      <c r="CH341" s="88"/>
      <c r="CI341" s="88"/>
      <c r="CJ341" s="88"/>
      <c r="CK341" s="88"/>
      <c r="CL341" s="88"/>
      <c r="CM341" s="88"/>
      <c r="CN341" s="88"/>
      <c r="CO341" s="88"/>
      <c r="CP341" s="88"/>
      <c r="CQ341" s="88"/>
      <c r="CR341" s="88"/>
      <c r="CS341" s="88"/>
      <c r="CT341" s="88"/>
      <c r="CU341" s="88"/>
    </row>
    <row r="342" spans="1:99">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88"/>
      <c r="BZ342" s="88"/>
      <c r="CA342" s="88"/>
      <c r="CB342" s="88"/>
      <c r="CC342" s="88"/>
      <c r="CD342" s="88"/>
      <c r="CE342" s="88"/>
      <c r="CF342" s="88"/>
      <c r="CG342" s="88"/>
      <c r="CH342" s="88"/>
      <c r="CI342" s="88"/>
      <c r="CJ342" s="88"/>
      <c r="CK342" s="88"/>
      <c r="CL342" s="88"/>
      <c r="CM342" s="88"/>
      <c r="CN342" s="88"/>
      <c r="CO342" s="88"/>
      <c r="CP342" s="88"/>
      <c r="CQ342" s="88"/>
      <c r="CR342" s="88"/>
      <c r="CS342" s="88"/>
      <c r="CT342" s="88"/>
      <c r="CU342" s="88"/>
    </row>
    <row r="343" spans="1:99">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88"/>
      <c r="BZ343" s="88"/>
      <c r="CA343" s="88"/>
      <c r="CB343" s="88"/>
      <c r="CC343" s="88"/>
      <c r="CD343" s="88"/>
      <c r="CE343" s="88"/>
      <c r="CF343" s="88"/>
      <c r="CG343" s="88"/>
      <c r="CH343" s="88"/>
      <c r="CI343" s="88"/>
      <c r="CJ343" s="88"/>
      <c r="CK343" s="88"/>
      <c r="CL343" s="88"/>
      <c r="CM343" s="88"/>
      <c r="CN343" s="88"/>
      <c r="CO343" s="88"/>
      <c r="CP343" s="88"/>
      <c r="CQ343" s="88"/>
      <c r="CR343" s="88"/>
      <c r="CS343" s="88"/>
      <c r="CT343" s="88"/>
      <c r="CU343" s="88"/>
    </row>
    <row r="344" spans="1:99">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88"/>
      <c r="BZ344" s="88"/>
      <c r="CA344" s="88"/>
      <c r="CB344" s="88"/>
      <c r="CC344" s="88"/>
      <c r="CD344" s="88"/>
      <c r="CE344" s="88"/>
      <c r="CF344" s="88"/>
      <c r="CG344" s="88"/>
      <c r="CH344" s="88"/>
      <c r="CI344" s="88"/>
      <c r="CJ344" s="88"/>
      <c r="CK344" s="88"/>
      <c r="CL344" s="88"/>
      <c r="CM344" s="88"/>
      <c r="CN344" s="88"/>
      <c r="CO344" s="88"/>
      <c r="CP344" s="88"/>
      <c r="CQ344" s="88"/>
      <c r="CR344" s="88"/>
      <c r="CS344" s="88"/>
      <c r="CT344" s="88"/>
      <c r="CU344" s="88"/>
    </row>
    <row r="345" spans="1:99">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88"/>
      <c r="BZ345" s="88"/>
      <c r="CA345" s="88"/>
      <c r="CB345" s="88"/>
      <c r="CC345" s="88"/>
      <c r="CD345" s="88"/>
      <c r="CE345" s="88"/>
      <c r="CF345" s="88"/>
      <c r="CG345" s="88"/>
      <c r="CH345" s="88"/>
      <c r="CI345" s="88"/>
      <c r="CJ345" s="88"/>
      <c r="CK345" s="88"/>
      <c r="CL345" s="88"/>
      <c r="CM345" s="88"/>
      <c r="CN345" s="88"/>
      <c r="CO345" s="88"/>
      <c r="CP345" s="88"/>
      <c r="CQ345" s="88"/>
      <c r="CR345" s="88"/>
      <c r="CS345" s="88"/>
      <c r="CT345" s="88"/>
      <c r="CU345" s="88"/>
    </row>
    <row r="346" spans="1:99">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c r="BZ346" s="88"/>
      <c r="CA346" s="88"/>
      <c r="CB346" s="88"/>
      <c r="CC346" s="88"/>
      <c r="CD346" s="88"/>
      <c r="CE346" s="88"/>
      <c r="CF346" s="88"/>
      <c r="CG346" s="88"/>
      <c r="CH346" s="88"/>
      <c r="CI346" s="88"/>
      <c r="CJ346" s="88"/>
      <c r="CK346" s="88"/>
      <c r="CL346" s="88"/>
      <c r="CM346" s="88"/>
      <c r="CN346" s="88"/>
      <c r="CO346" s="88"/>
      <c r="CP346" s="88"/>
      <c r="CQ346" s="88"/>
      <c r="CR346" s="88"/>
      <c r="CS346" s="88"/>
      <c r="CT346" s="88"/>
      <c r="CU346" s="88"/>
    </row>
    <row r="347" spans="1:99">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88"/>
      <c r="BZ347" s="88"/>
      <c r="CA347" s="88"/>
      <c r="CB347" s="88"/>
      <c r="CC347" s="88"/>
      <c r="CD347" s="88"/>
      <c r="CE347" s="88"/>
      <c r="CF347" s="88"/>
      <c r="CG347" s="88"/>
      <c r="CH347" s="88"/>
      <c r="CI347" s="88"/>
      <c r="CJ347" s="88"/>
      <c r="CK347" s="88"/>
      <c r="CL347" s="88"/>
      <c r="CM347" s="88"/>
      <c r="CN347" s="88"/>
      <c r="CO347" s="88"/>
      <c r="CP347" s="88"/>
      <c r="CQ347" s="88"/>
      <c r="CR347" s="88"/>
      <c r="CS347" s="88"/>
      <c r="CT347" s="88"/>
      <c r="CU347" s="88"/>
    </row>
    <row r="348" spans="1:99">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88"/>
      <c r="BZ348" s="88"/>
      <c r="CA348" s="88"/>
      <c r="CB348" s="88"/>
      <c r="CC348" s="88"/>
      <c r="CD348" s="88"/>
      <c r="CE348" s="88"/>
      <c r="CF348" s="88"/>
      <c r="CG348" s="88"/>
      <c r="CH348" s="88"/>
      <c r="CI348" s="88"/>
      <c r="CJ348" s="88"/>
      <c r="CK348" s="88"/>
      <c r="CL348" s="88"/>
      <c r="CM348" s="88"/>
      <c r="CN348" s="88"/>
      <c r="CO348" s="88"/>
      <c r="CP348" s="88"/>
      <c r="CQ348" s="88"/>
      <c r="CR348" s="88"/>
      <c r="CS348" s="88"/>
      <c r="CT348" s="88"/>
      <c r="CU348" s="88"/>
    </row>
    <row r="349" spans="1:99">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88"/>
      <c r="BZ349" s="88"/>
      <c r="CA349" s="88"/>
      <c r="CB349" s="88"/>
      <c r="CC349" s="88"/>
      <c r="CD349" s="88"/>
      <c r="CE349" s="88"/>
      <c r="CF349" s="88"/>
      <c r="CG349" s="88"/>
      <c r="CH349" s="88"/>
      <c r="CI349" s="88"/>
      <c r="CJ349" s="88"/>
      <c r="CK349" s="88"/>
      <c r="CL349" s="88"/>
      <c r="CM349" s="88"/>
      <c r="CN349" s="88"/>
      <c r="CO349" s="88"/>
      <c r="CP349" s="88"/>
      <c r="CQ349" s="88"/>
      <c r="CR349" s="88"/>
      <c r="CS349" s="88"/>
      <c r="CT349" s="88"/>
      <c r="CU349" s="88"/>
    </row>
    <row r="350" spans="1:99">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88"/>
      <c r="BZ350" s="88"/>
      <c r="CA350" s="88"/>
      <c r="CB350" s="88"/>
      <c r="CC350" s="88"/>
      <c r="CD350" s="88"/>
      <c r="CE350" s="88"/>
      <c r="CF350" s="88"/>
      <c r="CG350" s="88"/>
      <c r="CH350" s="88"/>
      <c r="CI350" s="88"/>
      <c r="CJ350" s="88"/>
      <c r="CK350" s="88"/>
      <c r="CL350" s="88"/>
      <c r="CM350" s="88"/>
      <c r="CN350" s="88"/>
      <c r="CO350" s="88"/>
      <c r="CP350" s="88"/>
      <c r="CQ350" s="88"/>
      <c r="CR350" s="88"/>
      <c r="CS350" s="88"/>
      <c r="CT350" s="88"/>
      <c r="CU350" s="88"/>
    </row>
    <row r="351" spans="1:99">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88"/>
      <c r="BZ351" s="88"/>
      <c r="CA351" s="88"/>
      <c r="CB351" s="88"/>
      <c r="CC351" s="88"/>
      <c r="CD351" s="88"/>
      <c r="CE351" s="88"/>
      <c r="CF351" s="88"/>
      <c r="CG351" s="88"/>
      <c r="CH351" s="88"/>
      <c r="CI351" s="88"/>
      <c r="CJ351" s="88"/>
      <c r="CK351" s="88"/>
      <c r="CL351" s="88"/>
      <c r="CM351" s="88"/>
      <c r="CN351" s="88"/>
      <c r="CO351" s="88"/>
      <c r="CP351" s="88"/>
      <c r="CQ351" s="88"/>
      <c r="CR351" s="88"/>
      <c r="CS351" s="88"/>
      <c r="CT351" s="88"/>
      <c r="CU351" s="88"/>
    </row>
    <row r="352" spans="1:99">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88"/>
      <c r="BZ352" s="88"/>
      <c r="CA352" s="88"/>
      <c r="CB352" s="88"/>
      <c r="CC352" s="88"/>
      <c r="CD352" s="88"/>
      <c r="CE352" s="88"/>
      <c r="CF352" s="88"/>
      <c r="CG352" s="88"/>
      <c r="CH352" s="88"/>
      <c r="CI352" s="88"/>
      <c r="CJ352" s="88"/>
      <c r="CK352" s="88"/>
      <c r="CL352" s="88"/>
      <c r="CM352" s="88"/>
      <c r="CN352" s="88"/>
      <c r="CO352" s="88"/>
      <c r="CP352" s="88"/>
      <c r="CQ352" s="88"/>
      <c r="CR352" s="88"/>
      <c r="CS352" s="88"/>
      <c r="CT352" s="88"/>
      <c r="CU352" s="88"/>
    </row>
    <row r="353" spans="1:99">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88"/>
      <c r="BZ353" s="88"/>
      <c r="CA353" s="88"/>
      <c r="CB353" s="88"/>
      <c r="CC353" s="88"/>
      <c r="CD353" s="88"/>
      <c r="CE353" s="88"/>
      <c r="CF353" s="88"/>
      <c r="CG353" s="88"/>
      <c r="CH353" s="88"/>
      <c r="CI353" s="88"/>
      <c r="CJ353" s="88"/>
      <c r="CK353" s="88"/>
      <c r="CL353" s="88"/>
      <c r="CM353" s="88"/>
      <c r="CN353" s="88"/>
      <c r="CO353" s="88"/>
      <c r="CP353" s="88"/>
      <c r="CQ353" s="88"/>
      <c r="CR353" s="88"/>
      <c r="CS353" s="88"/>
      <c r="CT353" s="88"/>
      <c r="CU353" s="88"/>
    </row>
    <row r="354" spans="1:99">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88"/>
      <c r="BZ354" s="88"/>
      <c r="CA354" s="88"/>
      <c r="CB354" s="88"/>
      <c r="CC354" s="88"/>
      <c r="CD354" s="88"/>
      <c r="CE354" s="88"/>
      <c r="CF354" s="88"/>
      <c r="CG354" s="88"/>
      <c r="CH354" s="88"/>
      <c r="CI354" s="88"/>
      <c r="CJ354" s="88"/>
      <c r="CK354" s="88"/>
      <c r="CL354" s="88"/>
      <c r="CM354" s="88"/>
      <c r="CN354" s="88"/>
      <c r="CO354" s="88"/>
      <c r="CP354" s="88"/>
      <c r="CQ354" s="88"/>
      <c r="CR354" s="88"/>
      <c r="CS354" s="88"/>
      <c r="CT354" s="88"/>
      <c r="CU354" s="88"/>
    </row>
    <row r="355" spans="1:99">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88"/>
      <c r="BZ355" s="88"/>
      <c r="CA355" s="88"/>
      <c r="CB355" s="88"/>
      <c r="CC355" s="88"/>
      <c r="CD355" s="88"/>
      <c r="CE355" s="88"/>
      <c r="CF355" s="88"/>
      <c r="CG355" s="88"/>
      <c r="CH355" s="88"/>
      <c r="CI355" s="88"/>
      <c r="CJ355" s="88"/>
      <c r="CK355" s="88"/>
      <c r="CL355" s="88"/>
      <c r="CM355" s="88"/>
      <c r="CN355" s="88"/>
      <c r="CO355" s="88"/>
      <c r="CP355" s="88"/>
      <c r="CQ355" s="88"/>
      <c r="CR355" s="88"/>
      <c r="CS355" s="88"/>
      <c r="CT355" s="88"/>
      <c r="CU355" s="88"/>
    </row>
    <row r="356" spans="1:99">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88"/>
      <c r="BZ356" s="88"/>
      <c r="CA356" s="88"/>
      <c r="CB356" s="88"/>
      <c r="CC356" s="88"/>
      <c r="CD356" s="88"/>
      <c r="CE356" s="88"/>
      <c r="CF356" s="88"/>
      <c r="CG356" s="88"/>
      <c r="CH356" s="88"/>
      <c r="CI356" s="88"/>
      <c r="CJ356" s="88"/>
      <c r="CK356" s="88"/>
      <c r="CL356" s="88"/>
      <c r="CM356" s="88"/>
      <c r="CN356" s="88"/>
      <c r="CO356" s="88"/>
      <c r="CP356" s="88"/>
      <c r="CQ356" s="88"/>
      <c r="CR356" s="88"/>
      <c r="CS356" s="88"/>
      <c r="CT356" s="88"/>
      <c r="CU356" s="88"/>
    </row>
    <row r="357" spans="1:99">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88"/>
      <c r="BZ357" s="88"/>
      <c r="CA357" s="88"/>
      <c r="CB357" s="88"/>
      <c r="CC357" s="88"/>
      <c r="CD357" s="88"/>
      <c r="CE357" s="88"/>
      <c r="CF357" s="88"/>
      <c r="CG357" s="88"/>
      <c r="CH357" s="88"/>
      <c r="CI357" s="88"/>
      <c r="CJ357" s="88"/>
      <c r="CK357" s="88"/>
      <c r="CL357" s="88"/>
      <c r="CM357" s="88"/>
      <c r="CN357" s="88"/>
      <c r="CO357" s="88"/>
      <c r="CP357" s="88"/>
      <c r="CQ357" s="88"/>
      <c r="CR357" s="88"/>
      <c r="CS357" s="88"/>
      <c r="CT357" s="88"/>
      <c r="CU357" s="88"/>
    </row>
    <row r="358" spans="1:99">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88"/>
      <c r="BZ358" s="88"/>
      <c r="CA358" s="88"/>
      <c r="CB358" s="88"/>
      <c r="CC358" s="88"/>
      <c r="CD358" s="88"/>
      <c r="CE358" s="88"/>
      <c r="CF358" s="88"/>
      <c r="CG358" s="88"/>
      <c r="CH358" s="88"/>
      <c r="CI358" s="88"/>
      <c r="CJ358" s="88"/>
      <c r="CK358" s="88"/>
      <c r="CL358" s="88"/>
      <c r="CM358" s="88"/>
      <c r="CN358" s="88"/>
      <c r="CO358" s="88"/>
      <c r="CP358" s="88"/>
      <c r="CQ358" s="88"/>
      <c r="CR358" s="88"/>
      <c r="CS358" s="88"/>
      <c r="CT358" s="88"/>
      <c r="CU358" s="88"/>
    </row>
    <row r="359" spans="1:99">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88"/>
      <c r="BZ359" s="88"/>
      <c r="CA359" s="88"/>
      <c r="CB359" s="88"/>
      <c r="CC359" s="88"/>
      <c r="CD359" s="88"/>
      <c r="CE359" s="88"/>
      <c r="CF359" s="88"/>
      <c r="CG359" s="88"/>
      <c r="CH359" s="88"/>
      <c r="CI359" s="88"/>
      <c r="CJ359" s="88"/>
      <c r="CK359" s="88"/>
      <c r="CL359" s="88"/>
      <c r="CM359" s="88"/>
      <c r="CN359" s="88"/>
      <c r="CO359" s="88"/>
      <c r="CP359" s="88"/>
      <c r="CQ359" s="88"/>
      <c r="CR359" s="88"/>
      <c r="CS359" s="88"/>
      <c r="CT359" s="88"/>
      <c r="CU359" s="88"/>
    </row>
    <row r="360" spans="1:99">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88"/>
      <c r="BZ360" s="88"/>
      <c r="CA360" s="88"/>
      <c r="CB360" s="88"/>
      <c r="CC360" s="88"/>
      <c r="CD360" s="88"/>
      <c r="CE360" s="88"/>
      <c r="CF360" s="88"/>
      <c r="CG360" s="88"/>
      <c r="CH360" s="88"/>
      <c r="CI360" s="88"/>
      <c r="CJ360" s="88"/>
      <c r="CK360" s="88"/>
      <c r="CL360" s="88"/>
      <c r="CM360" s="88"/>
      <c r="CN360" s="88"/>
      <c r="CO360" s="88"/>
      <c r="CP360" s="88"/>
      <c r="CQ360" s="88"/>
      <c r="CR360" s="88"/>
      <c r="CS360" s="88"/>
      <c r="CT360" s="88"/>
      <c r="CU360" s="88"/>
    </row>
    <row r="361" spans="1:99">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88"/>
      <c r="BZ361" s="88"/>
      <c r="CA361" s="88"/>
      <c r="CB361" s="88"/>
      <c r="CC361" s="88"/>
      <c r="CD361" s="88"/>
      <c r="CE361" s="88"/>
      <c r="CF361" s="88"/>
      <c r="CG361" s="88"/>
      <c r="CH361" s="88"/>
      <c r="CI361" s="88"/>
      <c r="CJ361" s="88"/>
      <c r="CK361" s="88"/>
      <c r="CL361" s="88"/>
      <c r="CM361" s="88"/>
      <c r="CN361" s="88"/>
      <c r="CO361" s="88"/>
      <c r="CP361" s="88"/>
      <c r="CQ361" s="88"/>
      <c r="CR361" s="88"/>
      <c r="CS361" s="88"/>
      <c r="CT361" s="88"/>
      <c r="CU361" s="88"/>
    </row>
    <row r="362" spans="1:99">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88"/>
      <c r="BZ362" s="88"/>
      <c r="CA362" s="88"/>
      <c r="CB362" s="88"/>
      <c r="CC362" s="88"/>
      <c r="CD362" s="88"/>
      <c r="CE362" s="88"/>
      <c r="CF362" s="88"/>
      <c r="CG362" s="88"/>
      <c r="CH362" s="88"/>
      <c r="CI362" s="88"/>
      <c r="CJ362" s="88"/>
      <c r="CK362" s="88"/>
      <c r="CL362" s="88"/>
      <c r="CM362" s="88"/>
      <c r="CN362" s="88"/>
      <c r="CO362" s="88"/>
      <c r="CP362" s="88"/>
      <c r="CQ362" s="88"/>
      <c r="CR362" s="88"/>
      <c r="CS362" s="88"/>
      <c r="CT362" s="88"/>
      <c r="CU362" s="88"/>
    </row>
    <row r="363" spans="1:99">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88"/>
      <c r="BZ363" s="88"/>
      <c r="CA363" s="88"/>
      <c r="CB363" s="88"/>
      <c r="CC363" s="88"/>
      <c r="CD363" s="88"/>
      <c r="CE363" s="88"/>
      <c r="CF363" s="88"/>
      <c r="CG363" s="88"/>
      <c r="CH363" s="88"/>
      <c r="CI363" s="88"/>
      <c r="CJ363" s="88"/>
      <c r="CK363" s="88"/>
      <c r="CL363" s="88"/>
      <c r="CM363" s="88"/>
      <c r="CN363" s="88"/>
      <c r="CO363" s="88"/>
      <c r="CP363" s="88"/>
      <c r="CQ363" s="88"/>
      <c r="CR363" s="88"/>
      <c r="CS363" s="88"/>
      <c r="CT363" s="88"/>
      <c r="CU363" s="88"/>
    </row>
    <row r="364" spans="1:99">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88"/>
      <c r="BZ364" s="88"/>
      <c r="CA364" s="88"/>
      <c r="CB364" s="88"/>
      <c r="CC364" s="88"/>
      <c r="CD364" s="88"/>
      <c r="CE364" s="88"/>
      <c r="CF364" s="88"/>
      <c r="CG364" s="88"/>
      <c r="CH364" s="88"/>
      <c r="CI364" s="88"/>
      <c r="CJ364" s="88"/>
      <c r="CK364" s="88"/>
      <c r="CL364" s="88"/>
      <c r="CM364" s="88"/>
      <c r="CN364" s="88"/>
      <c r="CO364" s="88"/>
      <c r="CP364" s="88"/>
      <c r="CQ364" s="88"/>
      <c r="CR364" s="88"/>
      <c r="CS364" s="88"/>
      <c r="CT364" s="88"/>
      <c r="CU364" s="88"/>
    </row>
    <row r="365" spans="1:99">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88"/>
      <c r="BZ365" s="88"/>
      <c r="CA365" s="88"/>
      <c r="CB365" s="88"/>
      <c r="CC365" s="88"/>
      <c r="CD365" s="88"/>
      <c r="CE365" s="88"/>
      <c r="CF365" s="88"/>
      <c r="CG365" s="88"/>
      <c r="CH365" s="88"/>
      <c r="CI365" s="88"/>
      <c r="CJ365" s="88"/>
      <c r="CK365" s="88"/>
      <c r="CL365" s="88"/>
      <c r="CM365" s="88"/>
      <c r="CN365" s="88"/>
      <c r="CO365" s="88"/>
      <c r="CP365" s="88"/>
      <c r="CQ365" s="88"/>
      <c r="CR365" s="88"/>
      <c r="CS365" s="88"/>
      <c r="CT365" s="88"/>
      <c r="CU365" s="88"/>
    </row>
    <row r="366" spans="1:99">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88"/>
      <c r="BZ366" s="88"/>
      <c r="CA366" s="88"/>
      <c r="CB366" s="88"/>
      <c r="CC366" s="88"/>
      <c r="CD366" s="88"/>
      <c r="CE366" s="88"/>
      <c r="CF366" s="88"/>
      <c r="CG366" s="88"/>
      <c r="CH366" s="88"/>
      <c r="CI366" s="88"/>
      <c r="CJ366" s="88"/>
      <c r="CK366" s="88"/>
      <c r="CL366" s="88"/>
      <c r="CM366" s="88"/>
      <c r="CN366" s="88"/>
      <c r="CO366" s="88"/>
      <c r="CP366" s="88"/>
      <c r="CQ366" s="88"/>
      <c r="CR366" s="88"/>
      <c r="CS366" s="88"/>
      <c r="CT366" s="88"/>
      <c r="CU366" s="88"/>
    </row>
    <row r="367" spans="1:99">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88"/>
      <c r="BZ367" s="88"/>
      <c r="CA367" s="88"/>
      <c r="CB367" s="88"/>
      <c r="CC367" s="88"/>
      <c r="CD367" s="88"/>
      <c r="CE367" s="88"/>
      <c r="CF367" s="88"/>
      <c r="CG367" s="88"/>
      <c r="CH367" s="88"/>
      <c r="CI367" s="88"/>
      <c r="CJ367" s="88"/>
      <c r="CK367" s="88"/>
      <c r="CL367" s="88"/>
      <c r="CM367" s="88"/>
      <c r="CN367" s="88"/>
      <c r="CO367" s="88"/>
      <c r="CP367" s="88"/>
      <c r="CQ367" s="88"/>
      <c r="CR367" s="88"/>
      <c r="CS367" s="88"/>
      <c r="CT367" s="88"/>
      <c r="CU367" s="88"/>
    </row>
    <row r="368" spans="1:99">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88"/>
      <c r="BZ368" s="88"/>
      <c r="CA368" s="88"/>
      <c r="CB368" s="88"/>
      <c r="CC368" s="88"/>
      <c r="CD368" s="88"/>
      <c r="CE368" s="88"/>
      <c r="CF368" s="88"/>
      <c r="CG368" s="88"/>
      <c r="CH368" s="88"/>
      <c r="CI368" s="88"/>
      <c r="CJ368" s="88"/>
      <c r="CK368" s="88"/>
      <c r="CL368" s="88"/>
      <c r="CM368" s="88"/>
      <c r="CN368" s="88"/>
      <c r="CO368" s="88"/>
      <c r="CP368" s="88"/>
      <c r="CQ368" s="88"/>
      <c r="CR368" s="88"/>
      <c r="CS368" s="88"/>
      <c r="CT368" s="88"/>
      <c r="CU368" s="88"/>
    </row>
    <row r="369" spans="1:99">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88"/>
      <c r="BZ369" s="88"/>
      <c r="CA369" s="88"/>
      <c r="CB369" s="88"/>
      <c r="CC369" s="88"/>
      <c r="CD369" s="88"/>
      <c r="CE369" s="88"/>
      <c r="CF369" s="88"/>
      <c r="CG369" s="88"/>
      <c r="CH369" s="88"/>
      <c r="CI369" s="88"/>
      <c r="CJ369" s="88"/>
      <c r="CK369" s="88"/>
      <c r="CL369" s="88"/>
      <c r="CM369" s="88"/>
      <c r="CN369" s="88"/>
      <c r="CO369" s="88"/>
      <c r="CP369" s="88"/>
      <c r="CQ369" s="88"/>
      <c r="CR369" s="88"/>
      <c r="CS369" s="88"/>
      <c r="CT369" s="88"/>
      <c r="CU369" s="88"/>
    </row>
    <row r="370" spans="1:99">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88"/>
      <c r="BZ370" s="88"/>
      <c r="CA370" s="88"/>
      <c r="CB370" s="88"/>
      <c r="CC370" s="88"/>
      <c r="CD370" s="88"/>
      <c r="CE370" s="88"/>
      <c r="CF370" s="88"/>
      <c r="CG370" s="88"/>
      <c r="CH370" s="88"/>
      <c r="CI370" s="88"/>
      <c r="CJ370" s="88"/>
      <c r="CK370" s="88"/>
      <c r="CL370" s="88"/>
      <c r="CM370" s="88"/>
      <c r="CN370" s="88"/>
      <c r="CO370" s="88"/>
      <c r="CP370" s="88"/>
      <c r="CQ370" s="88"/>
      <c r="CR370" s="88"/>
      <c r="CS370" s="88"/>
      <c r="CT370" s="88"/>
      <c r="CU370" s="88"/>
    </row>
    <row r="371" spans="1:99">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88"/>
      <c r="BZ371" s="88"/>
      <c r="CA371" s="88"/>
      <c r="CB371" s="88"/>
      <c r="CC371" s="88"/>
      <c r="CD371" s="88"/>
      <c r="CE371" s="88"/>
      <c r="CF371" s="88"/>
      <c r="CG371" s="88"/>
      <c r="CH371" s="88"/>
      <c r="CI371" s="88"/>
      <c r="CJ371" s="88"/>
      <c r="CK371" s="88"/>
      <c r="CL371" s="88"/>
      <c r="CM371" s="88"/>
      <c r="CN371" s="88"/>
      <c r="CO371" s="88"/>
      <c r="CP371" s="88"/>
      <c r="CQ371" s="88"/>
      <c r="CR371" s="88"/>
      <c r="CS371" s="88"/>
      <c r="CT371" s="88"/>
      <c r="CU371" s="88"/>
    </row>
    <row r="372" spans="1:99">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88"/>
      <c r="BZ372" s="88"/>
      <c r="CA372" s="88"/>
      <c r="CB372" s="88"/>
      <c r="CC372" s="88"/>
      <c r="CD372" s="88"/>
      <c r="CE372" s="88"/>
      <c r="CF372" s="88"/>
      <c r="CG372" s="88"/>
      <c r="CH372" s="88"/>
      <c r="CI372" s="88"/>
      <c r="CJ372" s="88"/>
      <c r="CK372" s="88"/>
      <c r="CL372" s="88"/>
      <c r="CM372" s="88"/>
      <c r="CN372" s="88"/>
      <c r="CO372" s="88"/>
      <c r="CP372" s="88"/>
      <c r="CQ372" s="88"/>
      <c r="CR372" s="88"/>
      <c r="CS372" s="88"/>
      <c r="CT372" s="88"/>
      <c r="CU372" s="88"/>
    </row>
    <row r="373" spans="1:99">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88"/>
      <c r="BZ373" s="88"/>
      <c r="CA373" s="88"/>
      <c r="CB373" s="88"/>
      <c r="CC373" s="88"/>
      <c r="CD373" s="88"/>
      <c r="CE373" s="88"/>
      <c r="CF373" s="88"/>
      <c r="CG373" s="88"/>
      <c r="CH373" s="88"/>
      <c r="CI373" s="88"/>
      <c r="CJ373" s="88"/>
      <c r="CK373" s="88"/>
      <c r="CL373" s="88"/>
      <c r="CM373" s="88"/>
      <c r="CN373" s="88"/>
      <c r="CO373" s="88"/>
      <c r="CP373" s="88"/>
      <c r="CQ373" s="88"/>
      <c r="CR373" s="88"/>
      <c r="CS373" s="88"/>
      <c r="CT373" s="88"/>
      <c r="CU373" s="88"/>
    </row>
    <row r="374" spans="1:99">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88"/>
      <c r="BZ374" s="88"/>
      <c r="CA374" s="88"/>
      <c r="CB374" s="88"/>
      <c r="CC374" s="88"/>
      <c r="CD374" s="88"/>
      <c r="CE374" s="88"/>
      <c r="CF374" s="88"/>
      <c r="CG374" s="88"/>
      <c r="CH374" s="88"/>
      <c r="CI374" s="88"/>
      <c r="CJ374" s="88"/>
      <c r="CK374" s="88"/>
      <c r="CL374" s="88"/>
      <c r="CM374" s="88"/>
      <c r="CN374" s="88"/>
      <c r="CO374" s="88"/>
      <c r="CP374" s="88"/>
      <c r="CQ374" s="88"/>
      <c r="CR374" s="88"/>
      <c r="CS374" s="88"/>
      <c r="CT374" s="88"/>
      <c r="CU374" s="88"/>
    </row>
    <row r="375" spans="1:99">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88"/>
      <c r="BZ375" s="88"/>
      <c r="CA375" s="88"/>
      <c r="CB375" s="88"/>
      <c r="CC375" s="88"/>
      <c r="CD375" s="88"/>
      <c r="CE375" s="88"/>
      <c r="CF375" s="88"/>
      <c r="CG375" s="88"/>
      <c r="CH375" s="88"/>
      <c r="CI375" s="88"/>
      <c r="CJ375" s="88"/>
      <c r="CK375" s="88"/>
      <c r="CL375" s="88"/>
      <c r="CM375" s="88"/>
      <c r="CN375" s="88"/>
      <c r="CO375" s="88"/>
      <c r="CP375" s="88"/>
      <c r="CQ375" s="88"/>
      <c r="CR375" s="88"/>
      <c r="CS375" s="88"/>
      <c r="CT375" s="88"/>
      <c r="CU375" s="88"/>
    </row>
    <row r="376" spans="1:99">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88"/>
      <c r="BZ376" s="88"/>
      <c r="CA376" s="88"/>
      <c r="CB376" s="88"/>
      <c r="CC376" s="88"/>
      <c r="CD376" s="88"/>
      <c r="CE376" s="88"/>
      <c r="CF376" s="88"/>
      <c r="CG376" s="88"/>
      <c r="CH376" s="88"/>
      <c r="CI376" s="88"/>
      <c r="CJ376" s="88"/>
      <c r="CK376" s="88"/>
      <c r="CL376" s="88"/>
      <c r="CM376" s="88"/>
      <c r="CN376" s="88"/>
      <c r="CO376" s="88"/>
      <c r="CP376" s="88"/>
      <c r="CQ376" s="88"/>
      <c r="CR376" s="88"/>
      <c r="CS376" s="88"/>
      <c r="CT376" s="88"/>
      <c r="CU376" s="88"/>
    </row>
    <row r="377" spans="1:99">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88"/>
      <c r="BZ377" s="88"/>
      <c r="CA377" s="88"/>
      <c r="CB377" s="88"/>
      <c r="CC377" s="88"/>
      <c r="CD377" s="88"/>
      <c r="CE377" s="88"/>
      <c r="CF377" s="88"/>
      <c r="CG377" s="88"/>
      <c r="CH377" s="88"/>
      <c r="CI377" s="88"/>
      <c r="CJ377" s="88"/>
      <c r="CK377" s="88"/>
      <c r="CL377" s="88"/>
      <c r="CM377" s="88"/>
      <c r="CN377" s="88"/>
      <c r="CO377" s="88"/>
      <c r="CP377" s="88"/>
      <c r="CQ377" s="88"/>
      <c r="CR377" s="88"/>
      <c r="CS377" s="88"/>
      <c r="CT377" s="88"/>
      <c r="CU377" s="88"/>
    </row>
    <row r="378" spans="1:99">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88"/>
      <c r="BZ378" s="88"/>
      <c r="CA378" s="88"/>
      <c r="CB378" s="88"/>
      <c r="CC378" s="88"/>
      <c r="CD378" s="88"/>
      <c r="CE378" s="88"/>
      <c r="CF378" s="88"/>
      <c r="CG378" s="88"/>
      <c r="CH378" s="88"/>
      <c r="CI378" s="88"/>
      <c r="CJ378" s="88"/>
      <c r="CK378" s="88"/>
      <c r="CL378" s="88"/>
      <c r="CM378" s="88"/>
      <c r="CN378" s="88"/>
      <c r="CO378" s="88"/>
      <c r="CP378" s="88"/>
      <c r="CQ378" s="88"/>
      <c r="CR378" s="88"/>
      <c r="CS378" s="88"/>
      <c r="CT378" s="88"/>
      <c r="CU378" s="88"/>
    </row>
    <row r="379" spans="1:99">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88"/>
      <c r="BZ379" s="88"/>
      <c r="CA379" s="88"/>
      <c r="CB379" s="88"/>
      <c r="CC379" s="88"/>
      <c r="CD379" s="88"/>
      <c r="CE379" s="88"/>
      <c r="CF379" s="88"/>
      <c r="CG379" s="88"/>
      <c r="CH379" s="88"/>
      <c r="CI379" s="88"/>
      <c r="CJ379" s="88"/>
      <c r="CK379" s="88"/>
      <c r="CL379" s="88"/>
      <c r="CM379" s="88"/>
      <c r="CN379" s="88"/>
      <c r="CO379" s="88"/>
      <c r="CP379" s="88"/>
      <c r="CQ379" s="88"/>
      <c r="CR379" s="88"/>
      <c r="CS379" s="88"/>
      <c r="CT379" s="88"/>
      <c r="CU379" s="88"/>
    </row>
    <row r="380" spans="1:99">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88"/>
      <c r="BZ380" s="88"/>
      <c r="CA380" s="88"/>
      <c r="CB380" s="88"/>
      <c r="CC380" s="88"/>
      <c r="CD380" s="88"/>
      <c r="CE380" s="88"/>
      <c r="CF380" s="88"/>
      <c r="CG380" s="88"/>
      <c r="CH380" s="88"/>
      <c r="CI380" s="88"/>
      <c r="CJ380" s="88"/>
      <c r="CK380" s="88"/>
      <c r="CL380" s="88"/>
      <c r="CM380" s="88"/>
      <c r="CN380" s="88"/>
      <c r="CO380" s="88"/>
      <c r="CP380" s="88"/>
      <c r="CQ380" s="88"/>
      <c r="CR380" s="88"/>
      <c r="CS380" s="88"/>
      <c r="CT380" s="88"/>
      <c r="CU380" s="88"/>
    </row>
    <row r="381" spans="1:99">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88"/>
      <c r="BZ381" s="88"/>
      <c r="CA381" s="88"/>
      <c r="CB381" s="88"/>
      <c r="CC381" s="88"/>
      <c r="CD381" s="88"/>
      <c r="CE381" s="88"/>
      <c r="CF381" s="88"/>
      <c r="CG381" s="88"/>
      <c r="CH381" s="88"/>
      <c r="CI381" s="88"/>
      <c r="CJ381" s="88"/>
      <c r="CK381" s="88"/>
      <c r="CL381" s="88"/>
      <c r="CM381" s="88"/>
      <c r="CN381" s="88"/>
      <c r="CO381" s="88"/>
      <c r="CP381" s="88"/>
      <c r="CQ381" s="88"/>
      <c r="CR381" s="88"/>
      <c r="CS381" s="88"/>
      <c r="CT381" s="88"/>
      <c r="CU381" s="88"/>
    </row>
    <row r="382" spans="1:99">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88"/>
      <c r="BZ382" s="88"/>
      <c r="CA382" s="88"/>
      <c r="CB382" s="88"/>
      <c r="CC382" s="88"/>
      <c r="CD382" s="88"/>
      <c r="CE382" s="88"/>
      <c r="CF382" s="88"/>
      <c r="CG382" s="88"/>
      <c r="CH382" s="88"/>
      <c r="CI382" s="88"/>
      <c r="CJ382" s="88"/>
      <c r="CK382" s="88"/>
      <c r="CL382" s="88"/>
      <c r="CM382" s="88"/>
      <c r="CN382" s="88"/>
      <c r="CO382" s="88"/>
      <c r="CP382" s="88"/>
      <c r="CQ382" s="88"/>
      <c r="CR382" s="88"/>
      <c r="CS382" s="88"/>
      <c r="CT382" s="88"/>
      <c r="CU382" s="88"/>
    </row>
    <row r="383" spans="1:99">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88"/>
      <c r="BZ383" s="88"/>
      <c r="CA383" s="88"/>
      <c r="CB383" s="88"/>
      <c r="CC383" s="88"/>
      <c r="CD383" s="88"/>
      <c r="CE383" s="88"/>
      <c r="CF383" s="88"/>
      <c r="CG383" s="88"/>
      <c r="CH383" s="88"/>
      <c r="CI383" s="88"/>
      <c r="CJ383" s="88"/>
      <c r="CK383" s="88"/>
      <c r="CL383" s="88"/>
      <c r="CM383" s="88"/>
      <c r="CN383" s="88"/>
      <c r="CO383" s="88"/>
      <c r="CP383" s="88"/>
      <c r="CQ383" s="88"/>
      <c r="CR383" s="88"/>
      <c r="CS383" s="88"/>
      <c r="CT383" s="88"/>
      <c r="CU383" s="88"/>
    </row>
    <row r="384" spans="1:99">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88"/>
      <c r="BZ384" s="88"/>
      <c r="CA384" s="88"/>
      <c r="CB384" s="88"/>
      <c r="CC384" s="88"/>
      <c r="CD384" s="88"/>
      <c r="CE384" s="88"/>
      <c r="CF384" s="88"/>
      <c r="CG384" s="88"/>
      <c r="CH384" s="88"/>
      <c r="CI384" s="88"/>
      <c r="CJ384" s="88"/>
      <c r="CK384" s="88"/>
      <c r="CL384" s="88"/>
      <c r="CM384" s="88"/>
      <c r="CN384" s="88"/>
      <c r="CO384" s="88"/>
      <c r="CP384" s="88"/>
      <c r="CQ384" s="88"/>
      <c r="CR384" s="88"/>
      <c r="CS384" s="88"/>
      <c r="CT384" s="88"/>
      <c r="CU384" s="88"/>
    </row>
    <row r="385" spans="1:99">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88"/>
      <c r="BZ385" s="88"/>
      <c r="CA385" s="88"/>
      <c r="CB385" s="88"/>
      <c r="CC385" s="88"/>
      <c r="CD385" s="88"/>
      <c r="CE385" s="88"/>
      <c r="CF385" s="88"/>
      <c r="CG385" s="88"/>
      <c r="CH385" s="88"/>
      <c r="CI385" s="88"/>
      <c r="CJ385" s="88"/>
      <c r="CK385" s="88"/>
      <c r="CL385" s="88"/>
      <c r="CM385" s="88"/>
      <c r="CN385" s="88"/>
      <c r="CO385" s="88"/>
      <c r="CP385" s="88"/>
      <c r="CQ385" s="88"/>
      <c r="CR385" s="88"/>
      <c r="CS385" s="88"/>
      <c r="CT385" s="88"/>
      <c r="CU385" s="88"/>
    </row>
    <row r="386" spans="1:99">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88"/>
      <c r="BZ386" s="88"/>
      <c r="CA386" s="88"/>
      <c r="CB386" s="88"/>
      <c r="CC386" s="88"/>
      <c r="CD386" s="88"/>
      <c r="CE386" s="88"/>
      <c r="CF386" s="88"/>
      <c r="CG386" s="88"/>
      <c r="CH386" s="88"/>
      <c r="CI386" s="88"/>
      <c r="CJ386" s="88"/>
      <c r="CK386" s="88"/>
      <c r="CL386" s="88"/>
      <c r="CM386" s="88"/>
      <c r="CN386" s="88"/>
      <c r="CO386" s="88"/>
      <c r="CP386" s="88"/>
      <c r="CQ386" s="88"/>
      <c r="CR386" s="88"/>
      <c r="CS386" s="88"/>
      <c r="CT386" s="88"/>
      <c r="CU386" s="88"/>
    </row>
    <row r="387" spans="1:99">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88"/>
      <c r="BZ387" s="88"/>
      <c r="CA387" s="88"/>
      <c r="CB387" s="88"/>
      <c r="CC387" s="88"/>
      <c r="CD387" s="88"/>
      <c r="CE387" s="88"/>
      <c r="CF387" s="88"/>
      <c r="CG387" s="88"/>
      <c r="CH387" s="88"/>
      <c r="CI387" s="88"/>
      <c r="CJ387" s="88"/>
      <c r="CK387" s="88"/>
      <c r="CL387" s="88"/>
      <c r="CM387" s="88"/>
      <c r="CN387" s="88"/>
      <c r="CO387" s="88"/>
      <c r="CP387" s="88"/>
      <c r="CQ387" s="88"/>
      <c r="CR387" s="88"/>
      <c r="CS387" s="88"/>
      <c r="CT387" s="88"/>
      <c r="CU387" s="88"/>
    </row>
    <row r="388" spans="1:99">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88"/>
      <c r="BZ388" s="88"/>
      <c r="CA388" s="88"/>
      <c r="CB388" s="88"/>
      <c r="CC388" s="88"/>
      <c r="CD388" s="88"/>
      <c r="CE388" s="88"/>
      <c r="CF388" s="88"/>
      <c r="CG388" s="88"/>
      <c r="CH388" s="88"/>
      <c r="CI388" s="88"/>
      <c r="CJ388" s="88"/>
      <c r="CK388" s="88"/>
      <c r="CL388" s="88"/>
      <c r="CM388" s="88"/>
      <c r="CN388" s="88"/>
      <c r="CO388" s="88"/>
      <c r="CP388" s="88"/>
      <c r="CQ388" s="88"/>
      <c r="CR388" s="88"/>
      <c r="CS388" s="88"/>
      <c r="CT388" s="88"/>
      <c r="CU388" s="88"/>
    </row>
    <row r="389" spans="1:99">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88"/>
      <c r="BZ389" s="88"/>
      <c r="CA389" s="88"/>
      <c r="CB389" s="88"/>
      <c r="CC389" s="88"/>
      <c r="CD389" s="88"/>
      <c r="CE389" s="88"/>
      <c r="CF389" s="88"/>
      <c r="CG389" s="88"/>
      <c r="CH389" s="88"/>
      <c r="CI389" s="88"/>
      <c r="CJ389" s="88"/>
      <c r="CK389" s="88"/>
      <c r="CL389" s="88"/>
      <c r="CM389" s="88"/>
      <c r="CN389" s="88"/>
      <c r="CO389" s="88"/>
      <c r="CP389" s="88"/>
      <c r="CQ389" s="88"/>
      <c r="CR389" s="88"/>
      <c r="CS389" s="88"/>
      <c r="CT389" s="88"/>
      <c r="CU389" s="88"/>
    </row>
    <row r="390" spans="1:99">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88"/>
      <c r="BZ390" s="88"/>
      <c r="CA390" s="88"/>
      <c r="CB390" s="88"/>
      <c r="CC390" s="88"/>
      <c r="CD390" s="88"/>
      <c r="CE390" s="88"/>
      <c r="CF390" s="88"/>
      <c r="CG390" s="88"/>
      <c r="CH390" s="88"/>
      <c r="CI390" s="88"/>
      <c r="CJ390" s="88"/>
      <c r="CK390" s="88"/>
      <c r="CL390" s="88"/>
      <c r="CM390" s="88"/>
      <c r="CN390" s="88"/>
      <c r="CO390" s="88"/>
      <c r="CP390" s="88"/>
      <c r="CQ390" s="88"/>
      <c r="CR390" s="88"/>
      <c r="CS390" s="88"/>
      <c r="CT390" s="88"/>
      <c r="CU390" s="88"/>
    </row>
    <row r="391" spans="1:99">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88"/>
      <c r="BZ391" s="88"/>
      <c r="CA391" s="88"/>
      <c r="CB391" s="88"/>
      <c r="CC391" s="88"/>
      <c r="CD391" s="88"/>
      <c r="CE391" s="88"/>
      <c r="CF391" s="88"/>
      <c r="CG391" s="88"/>
      <c r="CH391" s="88"/>
      <c r="CI391" s="88"/>
      <c r="CJ391" s="88"/>
      <c r="CK391" s="88"/>
      <c r="CL391" s="88"/>
      <c r="CM391" s="88"/>
      <c r="CN391" s="88"/>
      <c r="CO391" s="88"/>
      <c r="CP391" s="88"/>
      <c r="CQ391" s="88"/>
      <c r="CR391" s="88"/>
      <c r="CS391" s="88"/>
      <c r="CT391" s="88"/>
      <c r="CU391" s="88"/>
    </row>
    <row r="392" spans="1:99">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88"/>
      <c r="BZ392" s="88"/>
      <c r="CA392" s="88"/>
      <c r="CB392" s="88"/>
      <c r="CC392" s="88"/>
      <c r="CD392" s="88"/>
      <c r="CE392" s="88"/>
      <c r="CF392" s="88"/>
      <c r="CG392" s="88"/>
      <c r="CH392" s="88"/>
      <c r="CI392" s="88"/>
      <c r="CJ392" s="88"/>
      <c r="CK392" s="88"/>
      <c r="CL392" s="88"/>
      <c r="CM392" s="88"/>
      <c r="CN392" s="88"/>
      <c r="CO392" s="88"/>
      <c r="CP392" s="88"/>
      <c r="CQ392" s="88"/>
      <c r="CR392" s="88"/>
      <c r="CS392" s="88"/>
      <c r="CT392" s="88"/>
      <c r="CU392" s="88"/>
    </row>
    <row r="393" spans="1:99">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88"/>
      <c r="BZ393" s="88"/>
      <c r="CA393" s="88"/>
      <c r="CB393" s="88"/>
      <c r="CC393" s="88"/>
      <c r="CD393" s="88"/>
      <c r="CE393" s="88"/>
      <c r="CF393" s="88"/>
      <c r="CG393" s="88"/>
      <c r="CH393" s="88"/>
      <c r="CI393" s="88"/>
      <c r="CJ393" s="88"/>
      <c r="CK393" s="88"/>
      <c r="CL393" s="88"/>
      <c r="CM393" s="88"/>
      <c r="CN393" s="88"/>
      <c r="CO393" s="88"/>
      <c r="CP393" s="88"/>
      <c r="CQ393" s="88"/>
      <c r="CR393" s="88"/>
      <c r="CS393" s="88"/>
      <c r="CT393" s="88"/>
      <c r="CU393" s="88"/>
    </row>
    <row r="394" spans="1:99">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88"/>
      <c r="BZ394" s="88"/>
      <c r="CA394" s="88"/>
      <c r="CB394" s="88"/>
      <c r="CC394" s="88"/>
      <c r="CD394" s="88"/>
      <c r="CE394" s="88"/>
      <c r="CF394" s="88"/>
      <c r="CG394" s="88"/>
      <c r="CH394" s="88"/>
      <c r="CI394" s="88"/>
      <c r="CJ394" s="88"/>
      <c r="CK394" s="88"/>
      <c r="CL394" s="88"/>
      <c r="CM394" s="88"/>
      <c r="CN394" s="88"/>
      <c r="CO394" s="88"/>
      <c r="CP394" s="88"/>
      <c r="CQ394" s="88"/>
      <c r="CR394" s="88"/>
      <c r="CS394" s="88"/>
      <c r="CT394" s="88"/>
      <c r="CU394" s="88"/>
    </row>
    <row r="395" spans="1:99">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88"/>
      <c r="BZ395" s="88"/>
      <c r="CA395" s="88"/>
      <c r="CB395" s="88"/>
      <c r="CC395" s="88"/>
      <c r="CD395" s="88"/>
      <c r="CE395" s="88"/>
      <c r="CF395" s="88"/>
      <c r="CG395" s="88"/>
      <c r="CH395" s="88"/>
      <c r="CI395" s="88"/>
      <c r="CJ395" s="88"/>
      <c r="CK395" s="88"/>
      <c r="CL395" s="88"/>
      <c r="CM395" s="88"/>
      <c r="CN395" s="88"/>
      <c r="CO395" s="88"/>
      <c r="CP395" s="88"/>
      <c r="CQ395" s="88"/>
      <c r="CR395" s="88"/>
      <c r="CS395" s="88"/>
      <c r="CT395" s="88"/>
      <c r="CU395" s="88"/>
    </row>
    <row r="396" spans="1:99">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88"/>
      <c r="BZ396" s="88"/>
      <c r="CA396" s="88"/>
      <c r="CB396" s="88"/>
      <c r="CC396" s="88"/>
      <c r="CD396" s="88"/>
      <c r="CE396" s="88"/>
      <c r="CF396" s="88"/>
      <c r="CG396" s="88"/>
      <c r="CH396" s="88"/>
      <c r="CI396" s="88"/>
      <c r="CJ396" s="88"/>
      <c r="CK396" s="88"/>
      <c r="CL396" s="88"/>
      <c r="CM396" s="88"/>
      <c r="CN396" s="88"/>
      <c r="CO396" s="88"/>
      <c r="CP396" s="88"/>
      <c r="CQ396" s="88"/>
      <c r="CR396" s="88"/>
      <c r="CS396" s="88"/>
      <c r="CT396" s="88"/>
      <c r="CU396" s="88"/>
    </row>
    <row r="397" spans="1:99">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88"/>
      <c r="BZ397" s="88"/>
      <c r="CA397" s="88"/>
      <c r="CB397" s="88"/>
      <c r="CC397" s="88"/>
      <c r="CD397" s="88"/>
      <c r="CE397" s="88"/>
      <c r="CF397" s="88"/>
      <c r="CG397" s="88"/>
      <c r="CH397" s="88"/>
      <c r="CI397" s="88"/>
      <c r="CJ397" s="88"/>
      <c r="CK397" s="88"/>
      <c r="CL397" s="88"/>
      <c r="CM397" s="88"/>
      <c r="CN397" s="88"/>
      <c r="CO397" s="88"/>
      <c r="CP397" s="88"/>
      <c r="CQ397" s="88"/>
      <c r="CR397" s="88"/>
      <c r="CS397" s="88"/>
      <c r="CT397" s="88"/>
      <c r="CU397" s="88"/>
    </row>
    <row r="398" spans="1:99">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88"/>
      <c r="BZ398" s="88"/>
      <c r="CA398" s="88"/>
      <c r="CB398" s="88"/>
      <c r="CC398" s="88"/>
      <c r="CD398" s="88"/>
      <c r="CE398" s="88"/>
      <c r="CF398" s="88"/>
      <c r="CG398" s="88"/>
      <c r="CH398" s="88"/>
      <c r="CI398" s="88"/>
      <c r="CJ398" s="88"/>
      <c r="CK398" s="88"/>
      <c r="CL398" s="88"/>
      <c r="CM398" s="88"/>
      <c r="CN398" s="88"/>
      <c r="CO398" s="88"/>
      <c r="CP398" s="88"/>
      <c r="CQ398" s="88"/>
      <c r="CR398" s="88"/>
      <c r="CS398" s="88"/>
      <c r="CT398" s="88"/>
      <c r="CU398" s="88"/>
    </row>
    <row r="399" spans="1:99">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88"/>
      <c r="BZ399" s="88"/>
      <c r="CA399" s="88"/>
      <c r="CB399" s="88"/>
      <c r="CC399" s="88"/>
      <c r="CD399" s="88"/>
      <c r="CE399" s="88"/>
      <c r="CF399" s="88"/>
      <c r="CG399" s="88"/>
      <c r="CH399" s="88"/>
      <c r="CI399" s="88"/>
      <c r="CJ399" s="88"/>
      <c r="CK399" s="88"/>
      <c r="CL399" s="88"/>
      <c r="CM399" s="88"/>
      <c r="CN399" s="88"/>
      <c r="CO399" s="88"/>
      <c r="CP399" s="88"/>
      <c r="CQ399" s="88"/>
      <c r="CR399" s="88"/>
      <c r="CS399" s="88"/>
      <c r="CT399" s="88"/>
      <c r="CU399" s="88"/>
    </row>
    <row r="400" spans="1:99">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88"/>
      <c r="BZ400" s="88"/>
      <c r="CA400" s="88"/>
      <c r="CB400" s="88"/>
      <c r="CC400" s="88"/>
      <c r="CD400" s="88"/>
      <c r="CE400" s="88"/>
      <c r="CF400" s="88"/>
      <c r="CG400" s="88"/>
      <c r="CH400" s="88"/>
      <c r="CI400" s="88"/>
      <c r="CJ400" s="88"/>
      <c r="CK400" s="88"/>
      <c r="CL400" s="88"/>
      <c r="CM400" s="88"/>
      <c r="CN400" s="88"/>
      <c r="CO400" s="88"/>
      <c r="CP400" s="88"/>
      <c r="CQ400" s="88"/>
      <c r="CR400" s="88"/>
      <c r="CS400" s="88"/>
      <c r="CT400" s="88"/>
      <c r="CU400" s="88"/>
    </row>
    <row r="401" spans="1:99">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88"/>
      <c r="BZ401" s="88"/>
      <c r="CA401" s="88"/>
      <c r="CB401" s="88"/>
      <c r="CC401" s="88"/>
      <c r="CD401" s="88"/>
      <c r="CE401" s="88"/>
      <c r="CF401" s="88"/>
      <c r="CG401" s="88"/>
      <c r="CH401" s="88"/>
      <c r="CI401" s="88"/>
      <c r="CJ401" s="88"/>
      <c r="CK401" s="88"/>
      <c r="CL401" s="88"/>
      <c r="CM401" s="88"/>
      <c r="CN401" s="88"/>
      <c r="CO401" s="88"/>
      <c r="CP401" s="88"/>
      <c r="CQ401" s="88"/>
      <c r="CR401" s="88"/>
      <c r="CS401" s="88"/>
      <c r="CT401" s="88"/>
      <c r="CU401" s="88"/>
    </row>
    <row r="402" spans="1:99">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88"/>
      <c r="BZ402" s="88"/>
      <c r="CA402" s="88"/>
      <c r="CB402" s="88"/>
      <c r="CC402" s="88"/>
      <c r="CD402" s="88"/>
      <c r="CE402" s="88"/>
      <c r="CF402" s="88"/>
      <c r="CG402" s="88"/>
      <c r="CH402" s="88"/>
      <c r="CI402" s="88"/>
      <c r="CJ402" s="88"/>
      <c r="CK402" s="88"/>
      <c r="CL402" s="88"/>
      <c r="CM402" s="88"/>
      <c r="CN402" s="88"/>
      <c r="CO402" s="88"/>
      <c r="CP402" s="88"/>
      <c r="CQ402" s="88"/>
      <c r="CR402" s="88"/>
      <c r="CS402" s="88"/>
      <c r="CT402" s="88"/>
      <c r="CU402" s="88"/>
    </row>
    <row r="403" spans="1:99">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88"/>
      <c r="BZ403" s="88"/>
      <c r="CA403" s="88"/>
      <c r="CB403" s="88"/>
      <c r="CC403" s="88"/>
      <c r="CD403" s="88"/>
      <c r="CE403" s="88"/>
      <c r="CF403" s="88"/>
      <c r="CG403" s="88"/>
      <c r="CH403" s="88"/>
      <c r="CI403" s="88"/>
      <c r="CJ403" s="88"/>
      <c r="CK403" s="88"/>
      <c r="CL403" s="88"/>
      <c r="CM403" s="88"/>
      <c r="CN403" s="88"/>
      <c r="CO403" s="88"/>
      <c r="CP403" s="88"/>
      <c r="CQ403" s="88"/>
      <c r="CR403" s="88"/>
      <c r="CS403" s="88"/>
      <c r="CT403" s="88"/>
      <c r="CU403" s="88"/>
    </row>
    <row r="404" spans="1:99">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88"/>
      <c r="BZ404" s="88"/>
      <c r="CA404" s="88"/>
      <c r="CB404" s="88"/>
      <c r="CC404" s="88"/>
      <c r="CD404" s="88"/>
      <c r="CE404" s="88"/>
      <c r="CF404" s="88"/>
      <c r="CG404" s="88"/>
      <c r="CH404" s="88"/>
      <c r="CI404" s="88"/>
      <c r="CJ404" s="88"/>
      <c r="CK404" s="88"/>
      <c r="CL404" s="88"/>
      <c r="CM404" s="88"/>
      <c r="CN404" s="88"/>
      <c r="CO404" s="88"/>
      <c r="CP404" s="88"/>
      <c r="CQ404" s="88"/>
      <c r="CR404" s="88"/>
      <c r="CS404" s="88"/>
      <c r="CT404" s="88"/>
      <c r="CU404" s="88"/>
    </row>
    <row r="405" spans="1:99">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88"/>
      <c r="BZ405" s="88"/>
      <c r="CA405" s="88"/>
      <c r="CB405" s="88"/>
      <c r="CC405" s="88"/>
      <c r="CD405" s="88"/>
      <c r="CE405" s="88"/>
      <c r="CF405" s="88"/>
      <c r="CG405" s="88"/>
      <c r="CH405" s="88"/>
      <c r="CI405" s="88"/>
      <c r="CJ405" s="88"/>
      <c r="CK405" s="88"/>
      <c r="CL405" s="88"/>
      <c r="CM405" s="88"/>
      <c r="CN405" s="88"/>
      <c r="CO405" s="88"/>
      <c r="CP405" s="88"/>
      <c r="CQ405" s="88"/>
      <c r="CR405" s="88"/>
      <c r="CS405" s="88"/>
      <c r="CT405" s="88"/>
      <c r="CU405" s="88"/>
    </row>
    <row r="406" spans="1:99">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88"/>
      <c r="BZ406" s="88"/>
      <c r="CA406" s="88"/>
      <c r="CB406" s="88"/>
      <c r="CC406" s="88"/>
      <c r="CD406" s="88"/>
      <c r="CE406" s="88"/>
      <c r="CF406" s="88"/>
      <c r="CG406" s="88"/>
      <c r="CH406" s="88"/>
      <c r="CI406" s="88"/>
      <c r="CJ406" s="88"/>
      <c r="CK406" s="88"/>
      <c r="CL406" s="88"/>
      <c r="CM406" s="88"/>
      <c r="CN406" s="88"/>
      <c r="CO406" s="88"/>
      <c r="CP406" s="88"/>
      <c r="CQ406" s="88"/>
      <c r="CR406" s="88"/>
      <c r="CS406" s="88"/>
      <c r="CT406" s="88"/>
      <c r="CU406" s="88"/>
    </row>
    <row r="407" spans="1:99">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88"/>
      <c r="BZ407" s="88"/>
      <c r="CA407" s="88"/>
      <c r="CB407" s="88"/>
      <c r="CC407" s="88"/>
      <c r="CD407" s="88"/>
      <c r="CE407" s="88"/>
      <c r="CF407" s="88"/>
      <c r="CG407" s="88"/>
      <c r="CH407" s="88"/>
      <c r="CI407" s="88"/>
      <c r="CJ407" s="88"/>
      <c r="CK407" s="88"/>
      <c r="CL407" s="88"/>
      <c r="CM407" s="88"/>
      <c r="CN407" s="88"/>
      <c r="CO407" s="88"/>
      <c r="CP407" s="88"/>
      <c r="CQ407" s="88"/>
      <c r="CR407" s="88"/>
      <c r="CS407" s="88"/>
      <c r="CT407" s="88"/>
      <c r="CU407" s="88"/>
    </row>
    <row r="408" spans="1:99">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88"/>
      <c r="BZ408" s="88"/>
      <c r="CA408" s="88"/>
      <c r="CB408" s="88"/>
      <c r="CC408" s="88"/>
      <c r="CD408" s="88"/>
      <c r="CE408" s="88"/>
      <c r="CF408" s="88"/>
      <c r="CG408" s="88"/>
      <c r="CH408" s="88"/>
      <c r="CI408" s="88"/>
      <c r="CJ408" s="88"/>
      <c r="CK408" s="88"/>
      <c r="CL408" s="88"/>
      <c r="CM408" s="88"/>
      <c r="CN408" s="88"/>
      <c r="CO408" s="88"/>
      <c r="CP408" s="88"/>
      <c r="CQ408" s="88"/>
      <c r="CR408" s="88"/>
      <c r="CS408" s="88"/>
      <c r="CT408" s="88"/>
      <c r="CU408" s="88"/>
    </row>
    <row r="409" spans="1:99">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88"/>
      <c r="BZ409" s="88"/>
      <c r="CA409" s="88"/>
      <c r="CB409" s="88"/>
      <c r="CC409" s="88"/>
      <c r="CD409" s="88"/>
      <c r="CE409" s="88"/>
      <c r="CF409" s="88"/>
      <c r="CG409" s="88"/>
      <c r="CH409" s="88"/>
      <c r="CI409" s="88"/>
      <c r="CJ409" s="88"/>
      <c r="CK409" s="88"/>
      <c r="CL409" s="88"/>
      <c r="CM409" s="88"/>
      <c r="CN409" s="88"/>
      <c r="CO409" s="88"/>
      <c r="CP409" s="88"/>
      <c r="CQ409" s="88"/>
      <c r="CR409" s="88"/>
      <c r="CS409" s="88"/>
      <c r="CT409" s="88"/>
      <c r="CU409" s="88"/>
    </row>
    <row r="410" spans="1:99">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88"/>
      <c r="BZ410" s="88"/>
      <c r="CA410" s="88"/>
      <c r="CB410" s="88"/>
      <c r="CC410" s="88"/>
      <c r="CD410" s="88"/>
      <c r="CE410" s="88"/>
      <c r="CF410" s="88"/>
      <c r="CG410" s="88"/>
      <c r="CH410" s="88"/>
      <c r="CI410" s="88"/>
      <c r="CJ410" s="88"/>
      <c r="CK410" s="88"/>
      <c r="CL410" s="88"/>
      <c r="CM410" s="88"/>
      <c r="CN410" s="88"/>
      <c r="CO410" s="88"/>
      <c r="CP410" s="88"/>
      <c r="CQ410" s="88"/>
      <c r="CR410" s="88"/>
      <c r="CS410" s="88"/>
      <c r="CT410" s="88"/>
      <c r="CU410" s="88"/>
    </row>
    <row r="411" spans="1:99">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88"/>
      <c r="BZ411" s="88"/>
      <c r="CA411" s="88"/>
      <c r="CB411" s="88"/>
      <c r="CC411" s="88"/>
      <c r="CD411" s="88"/>
      <c r="CE411" s="88"/>
      <c r="CF411" s="88"/>
      <c r="CG411" s="88"/>
      <c r="CH411" s="88"/>
      <c r="CI411" s="88"/>
      <c r="CJ411" s="88"/>
      <c r="CK411" s="88"/>
      <c r="CL411" s="88"/>
      <c r="CM411" s="88"/>
      <c r="CN411" s="88"/>
      <c r="CO411" s="88"/>
      <c r="CP411" s="88"/>
      <c r="CQ411" s="88"/>
      <c r="CR411" s="88"/>
      <c r="CS411" s="88"/>
      <c r="CT411" s="88"/>
      <c r="CU411" s="88"/>
    </row>
    <row r="412" spans="1:99">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88"/>
      <c r="BZ412" s="88"/>
      <c r="CA412" s="88"/>
      <c r="CB412" s="88"/>
      <c r="CC412" s="88"/>
      <c r="CD412" s="88"/>
      <c r="CE412" s="88"/>
      <c r="CF412" s="88"/>
      <c r="CG412" s="88"/>
      <c r="CH412" s="88"/>
      <c r="CI412" s="88"/>
      <c r="CJ412" s="88"/>
      <c r="CK412" s="88"/>
      <c r="CL412" s="88"/>
      <c r="CM412" s="88"/>
      <c r="CN412" s="88"/>
      <c r="CO412" s="88"/>
      <c r="CP412" s="88"/>
      <c r="CQ412" s="88"/>
      <c r="CR412" s="88"/>
      <c r="CS412" s="88"/>
      <c r="CT412" s="88"/>
      <c r="CU412" s="88"/>
    </row>
    <row r="413" spans="1:99">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88"/>
      <c r="BZ413" s="88"/>
      <c r="CA413" s="88"/>
      <c r="CB413" s="88"/>
      <c r="CC413" s="88"/>
      <c r="CD413" s="88"/>
      <c r="CE413" s="88"/>
      <c r="CF413" s="88"/>
      <c r="CG413" s="88"/>
      <c r="CH413" s="88"/>
      <c r="CI413" s="88"/>
      <c r="CJ413" s="88"/>
      <c r="CK413" s="88"/>
      <c r="CL413" s="88"/>
      <c r="CM413" s="88"/>
      <c r="CN413" s="88"/>
      <c r="CO413" s="88"/>
      <c r="CP413" s="88"/>
      <c r="CQ413" s="88"/>
      <c r="CR413" s="88"/>
      <c r="CS413" s="88"/>
      <c r="CT413" s="88"/>
      <c r="CU413" s="88"/>
    </row>
    <row r="414" spans="1:99">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88"/>
      <c r="BZ414" s="88"/>
      <c r="CA414" s="88"/>
      <c r="CB414" s="88"/>
      <c r="CC414" s="88"/>
      <c r="CD414" s="88"/>
      <c r="CE414" s="88"/>
      <c r="CF414" s="88"/>
      <c r="CG414" s="88"/>
      <c r="CH414" s="88"/>
      <c r="CI414" s="88"/>
      <c r="CJ414" s="88"/>
      <c r="CK414" s="88"/>
      <c r="CL414" s="88"/>
      <c r="CM414" s="88"/>
      <c r="CN414" s="88"/>
      <c r="CO414" s="88"/>
      <c r="CP414" s="88"/>
      <c r="CQ414" s="88"/>
      <c r="CR414" s="88"/>
      <c r="CS414" s="88"/>
      <c r="CT414" s="88"/>
      <c r="CU414" s="88"/>
    </row>
    <row r="415" spans="1:99">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88"/>
      <c r="BZ415" s="88"/>
      <c r="CA415" s="88"/>
      <c r="CB415" s="88"/>
      <c r="CC415" s="88"/>
      <c r="CD415" s="88"/>
      <c r="CE415" s="88"/>
      <c r="CF415" s="88"/>
      <c r="CG415" s="88"/>
      <c r="CH415" s="88"/>
      <c r="CI415" s="88"/>
      <c r="CJ415" s="88"/>
      <c r="CK415" s="88"/>
      <c r="CL415" s="88"/>
      <c r="CM415" s="88"/>
      <c r="CN415" s="88"/>
      <c r="CO415" s="88"/>
      <c r="CP415" s="88"/>
      <c r="CQ415" s="88"/>
      <c r="CR415" s="88"/>
      <c r="CS415" s="88"/>
      <c r="CT415" s="88"/>
      <c r="CU415" s="88"/>
    </row>
    <row r="416" spans="1:99">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88"/>
      <c r="BZ416" s="88"/>
      <c r="CA416" s="88"/>
      <c r="CB416" s="88"/>
      <c r="CC416" s="88"/>
      <c r="CD416" s="88"/>
      <c r="CE416" s="88"/>
      <c r="CF416" s="88"/>
      <c r="CG416" s="88"/>
      <c r="CH416" s="88"/>
      <c r="CI416" s="88"/>
      <c r="CJ416" s="88"/>
      <c r="CK416" s="88"/>
      <c r="CL416" s="88"/>
      <c r="CM416" s="88"/>
      <c r="CN416" s="88"/>
      <c r="CO416" s="88"/>
      <c r="CP416" s="88"/>
      <c r="CQ416" s="88"/>
      <c r="CR416" s="88"/>
      <c r="CS416" s="88"/>
      <c r="CT416" s="88"/>
      <c r="CU416" s="88"/>
    </row>
    <row r="417" spans="1:99">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88"/>
      <c r="BZ417" s="88"/>
      <c r="CA417" s="88"/>
      <c r="CB417" s="88"/>
      <c r="CC417" s="88"/>
      <c r="CD417" s="88"/>
      <c r="CE417" s="88"/>
      <c r="CF417" s="88"/>
      <c r="CG417" s="88"/>
      <c r="CH417" s="88"/>
      <c r="CI417" s="88"/>
      <c r="CJ417" s="88"/>
      <c r="CK417" s="88"/>
      <c r="CL417" s="88"/>
      <c r="CM417" s="88"/>
      <c r="CN417" s="88"/>
      <c r="CO417" s="88"/>
      <c r="CP417" s="88"/>
      <c r="CQ417" s="88"/>
      <c r="CR417" s="88"/>
      <c r="CS417" s="88"/>
      <c r="CT417" s="88"/>
      <c r="CU417" s="88"/>
    </row>
    <row r="418" spans="1:99">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88"/>
      <c r="BZ418" s="88"/>
      <c r="CA418" s="88"/>
      <c r="CB418" s="88"/>
      <c r="CC418" s="88"/>
      <c r="CD418" s="88"/>
      <c r="CE418" s="88"/>
      <c r="CF418" s="88"/>
      <c r="CG418" s="88"/>
      <c r="CH418" s="88"/>
      <c r="CI418" s="88"/>
      <c r="CJ418" s="88"/>
      <c r="CK418" s="88"/>
      <c r="CL418" s="88"/>
      <c r="CM418" s="88"/>
      <c r="CN418" s="88"/>
      <c r="CO418" s="88"/>
      <c r="CP418" s="88"/>
      <c r="CQ418" s="88"/>
      <c r="CR418" s="88"/>
      <c r="CS418" s="88"/>
      <c r="CT418" s="88"/>
      <c r="CU418" s="88"/>
    </row>
    <row r="419" spans="1:99">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88"/>
      <c r="BZ419" s="88"/>
      <c r="CA419" s="88"/>
      <c r="CB419" s="88"/>
      <c r="CC419" s="88"/>
      <c r="CD419" s="88"/>
      <c r="CE419" s="88"/>
      <c r="CF419" s="88"/>
      <c r="CG419" s="88"/>
      <c r="CH419" s="88"/>
      <c r="CI419" s="88"/>
      <c r="CJ419" s="88"/>
      <c r="CK419" s="88"/>
      <c r="CL419" s="88"/>
      <c r="CM419" s="88"/>
      <c r="CN419" s="88"/>
      <c r="CO419" s="88"/>
      <c r="CP419" s="88"/>
      <c r="CQ419" s="88"/>
      <c r="CR419" s="88"/>
      <c r="CS419" s="88"/>
      <c r="CT419" s="88"/>
      <c r="CU419" s="88"/>
    </row>
    <row r="420" spans="1:99">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88"/>
      <c r="BZ420" s="88"/>
      <c r="CA420" s="88"/>
      <c r="CB420" s="88"/>
      <c r="CC420" s="88"/>
      <c r="CD420" s="88"/>
      <c r="CE420" s="88"/>
      <c r="CF420" s="88"/>
      <c r="CG420" s="88"/>
      <c r="CH420" s="88"/>
      <c r="CI420" s="88"/>
      <c r="CJ420" s="88"/>
      <c r="CK420" s="88"/>
      <c r="CL420" s="88"/>
      <c r="CM420" s="88"/>
      <c r="CN420" s="88"/>
      <c r="CO420" s="88"/>
      <c r="CP420" s="88"/>
      <c r="CQ420" s="88"/>
      <c r="CR420" s="88"/>
      <c r="CS420" s="88"/>
      <c r="CT420" s="88"/>
      <c r="CU420" s="88"/>
    </row>
    <row r="421" spans="1:99">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88"/>
      <c r="BZ421" s="88"/>
      <c r="CA421" s="88"/>
      <c r="CB421" s="88"/>
      <c r="CC421" s="88"/>
      <c r="CD421" s="88"/>
      <c r="CE421" s="88"/>
      <c r="CF421" s="88"/>
      <c r="CG421" s="88"/>
      <c r="CH421" s="88"/>
      <c r="CI421" s="88"/>
      <c r="CJ421" s="88"/>
      <c r="CK421" s="88"/>
      <c r="CL421" s="88"/>
      <c r="CM421" s="88"/>
      <c r="CN421" s="88"/>
      <c r="CO421" s="88"/>
      <c r="CP421" s="88"/>
      <c r="CQ421" s="88"/>
      <c r="CR421" s="88"/>
      <c r="CS421" s="88"/>
      <c r="CT421" s="88"/>
      <c r="CU421" s="88"/>
    </row>
    <row r="422" spans="1:99">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88"/>
      <c r="BZ422" s="88"/>
      <c r="CA422" s="88"/>
      <c r="CB422" s="88"/>
      <c r="CC422" s="88"/>
      <c r="CD422" s="88"/>
      <c r="CE422" s="88"/>
      <c r="CF422" s="88"/>
      <c r="CG422" s="88"/>
      <c r="CH422" s="88"/>
      <c r="CI422" s="88"/>
      <c r="CJ422" s="88"/>
      <c r="CK422" s="88"/>
      <c r="CL422" s="88"/>
      <c r="CM422" s="88"/>
      <c r="CN422" s="88"/>
      <c r="CO422" s="88"/>
      <c r="CP422" s="88"/>
      <c r="CQ422" s="88"/>
      <c r="CR422" s="88"/>
      <c r="CS422" s="88"/>
      <c r="CT422" s="88"/>
      <c r="CU422" s="88"/>
    </row>
    <row r="423" spans="1:99">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88"/>
      <c r="BZ423" s="88"/>
      <c r="CA423" s="88"/>
      <c r="CB423" s="88"/>
      <c r="CC423" s="88"/>
      <c r="CD423" s="88"/>
      <c r="CE423" s="88"/>
      <c r="CF423" s="88"/>
      <c r="CG423" s="88"/>
      <c r="CH423" s="88"/>
      <c r="CI423" s="88"/>
      <c r="CJ423" s="88"/>
      <c r="CK423" s="88"/>
      <c r="CL423" s="88"/>
      <c r="CM423" s="88"/>
      <c r="CN423" s="88"/>
      <c r="CO423" s="88"/>
      <c r="CP423" s="88"/>
      <c r="CQ423" s="88"/>
      <c r="CR423" s="88"/>
      <c r="CS423" s="88"/>
      <c r="CT423" s="88"/>
      <c r="CU423" s="88"/>
    </row>
    <row r="424" spans="1:99">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88"/>
      <c r="BZ424" s="88"/>
      <c r="CA424" s="88"/>
      <c r="CB424" s="88"/>
      <c r="CC424" s="88"/>
      <c r="CD424" s="88"/>
      <c r="CE424" s="88"/>
      <c r="CF424" s="88"/>
      <c r="CG424" s="88"/>
      <c r="CH424" s="88"/>
      <c r="CI424" s="88"/>
      <c r="CJ424" s="88"/>
      <c r="CK424" s="88"/>
      <c r="CL424" s="88"/>
      <c r="CM424" s="88"/>
      <c r="CN424" s="88"/>
      <c r="CO424" s="88"/>
      <c r="CP424" s="88"/>
      <c r="CQ424" s="88"/>
      <c r="CR424" s="88"/>
      <c r="CS424" s="88"/>
      <c r="CT424" s="88"/>
      <c r="CU424" s="88"/>
    </row>
    <row r="425" spans="1:99">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88"/>
      <c r="BZ425" s="88"/>
      <c r="CA425" s="88"/>
      <c r="CB425" s="88"/>
      <c r="CC425" s="88"/>
      <c r="CD425" s="88"/>
      <c r="CE425" s="88"/>
      <c r="CF425" s="88"/>
      <c r="CG425" s="88"/>
      <c r="CH425" s="88"/>
      <c r="CI425" s="88"/>
      <c r="CJ425" s="88"/>
      <c r="CK425" s="88"/>
      <c r="CL425" s="88"/>
      <c r="CM425" s="88"/>
      <c r="CN425" s="88"/>
      <c r="CO425" s="88"/>
      <c r="CP425" s="88"/>
      <c r="CQ425" s="88"/>
      <c r="CR425" s="88"/>
      <c r="CS425" s="88"/>
      <c r="CT425" s="88"/>
      <c r="CU425" s="88"/>
    </row>
    <row r="426" spans="1:99">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88"/>
      <c r="BZ426" s="88"/>
      <c r="CA426" s="88"/>
      <c r="CB426" s="88"/>
      <c r="CC426" s="88"/>
      <c r="CD426" s="88"/>
      <c r="CE426" s="88"/>
      <c r="CF426" s="88"/>
      <c r="CG426" s="88"/>
      <c r="CH426" s="88"/>
      <c r="CI426" s="88"/>
      <c r="CJ426" s="88"/>
      <c r="CK426" s="88"/>
      <c r="CL426" s="88"/>
      <c r="CM426" s="88"/>
      <c r="CN426" s="88"/>
      <c r="CO426" s="88"/>
      <c r="CP426" s="88"/>
      <c r="CQ426" s="88"/>
      <c r="CR426" s="88"/>
      <c r="CS426" s="88"/>
      <c r="CT426" s="88"/>
      <c r="CU426" s="88"/>
    </row>
    <row r="427" spans="1:99">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88"/>
      <c r="BZ427" s="88"/>
      <c r="CA427" s="88"/>
      <c r="CB427" s="88"/>
      <c r="CC427" s="88"/>
      <c r="CD427" s="88"/>
      <c r="CE427" s="88"/>
      <c r="CF427" s="88"/>
      <c r="CG427" s="88"/>
      <c r="CH427" s="88"/>
      <c r="CI427" s="88"/>
      <c r="CJ427" s="88"/>
      <c r="CK427" s="88"/>
      <c r="CL427" s="88"/>
      <c r="CM427" s="88"/>
      <c r="CN427" s="88"/>
      <c r="CO427" s="88"/>
      <c r="CP427" s="88"/>
      <c r="CQ427" s="88"/>
      <c r="CR427" s="88"/>
      <c r="CS427" s="88"/>
      <c r="CT427" s="88"/>
      <c r="CU427" s="88"/>
    </row>
    <row r="428" spans="1:99">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88"/>
      <c r="BZ428" s="88"/>
      <c r="CA428" s="88"/>
      <c r="CB428" s="88"/>
      <c r="CC428" s="88"/>
      <c r="CD428" s="88"/>
      <c r="CE428" s="88"/>
      <c r="CF428" s="88"/>
      <c r="CG428" s="88"/>
      <c r="CH428" s="88"/>
      <c r="CI428" s="88"/>
      <c r="CJ428" s="88"/>
      <c r="CK428" s="88"/>
      <c r="CL428" s="88"/>
      <c r="CM428" s="88"/>
      <c r="CN428" s="88"/>
      <c r="CO428" s="88"/>
      <c r="CP428" s="88"/>
      <c r="CQ428" s="88"/>
      <c r="CR428" s="88"/>
      <c r="CS428" s="88"/>
      <c r="CT428" s="88"/>
      <c r="CU428" s="88"/>
    </row>
    <row r="429" spans="1:99">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88"/>
      <c r="BZ429" s="88"/>
      <c r="CA429" s="88"/>
      <c r="CB429" s="88"/>
      <c r="CC429" s="88"/>
      <c r="CD429" s="88"/>
      <c r="CE429" s="88"/>
      <c r="CF429" s="88"/>
      <c r="CG429" s="88"/>
      <c r="CH429" s="88"/>
      <c r="CI429" s="88"/>
      <c r="CJ429" s="88"/>
      <c r="CK429" s="88"/>
      <c r="CL429" s="88"/>
      <c r="CM429" s="88"/>
      <c r="CN429" s="88"/>
      <c r="CO429" s="88"/>
      <c r="CP429" s="88"/>
      <c r="CQ429" s="88"/>
      <c r="CR429" s="88"/>
      <c r="CS429" s="88"/>
      <c r="CT429" s="88"/>
      <c r="CU429" s="88"/>
    </row>
    <row r="430" spans="1:99">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88"/>
      <c r="BZ430" s="88"/>
      <c r="CA430" s="88"/>
      <c r="CB430" s="88"/>
      <c r="CC430" s="88"/>
      <c r="CD430" s="88"/>
      <c r="CE430" s="88"/>
      <c r="CF430" s="88"/>
      <c r="CG430" s="88"/>
      <c r="CH430" s="88"/>
      <c r="CI430" s="88"/>
      <c r="CJ430" s="88"/>
      <c r="CK430" s="88"/>
      <c r="CL430" s="88"/>
      <c r="CM430" s="88"/>
      <c r="CN430" s="88"/>
      <c r="CO430" s="88"/>
      <c r="CP430" s="88"/>
      <c r="CQ430" s="88"/>
      <c r="CR430" s="88"/>
      <c r="CS430" s="88"/>
      <c r="CT430" s="88"/>
      <c r="CU430" s="88"/>
    </row>
    <row r="431" spans="1:99">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88"/>
      <c r="BZ431" s="88"/>
      <c r="CA431" s="88"/>
      <c r="CB431" s="88"/>
      <c r="CC431" s="88"/>
      <c r="CD431" s="88"/>
      <c r="CE431" s="88"/>
      <c r="CF431" s="88"/>
      <c r="CG431" s="88"/>
      <c r="CH431" s="88"/>
      <c r="CI431" s="88"/>
      <c r="CJ431" s="88"/>
      <c r="CK431" s="88"/>
      <c r="CL431" s="88"/>
      <c r="CM431" s="88"/>
      <c r="CN431" s="88"/>
      <c r="CO431" s="88"/>
      <c r="CP431" s="88"/>
      <c r="CQ431" s="88"/>
      <c r="CR431" s="88"/>
      <c r="CS431" s="88"/>
      <c r="CT431" s="88"/>
      <c r="CU431" s="88"/>
    </row>
    <row r="432" spans="1:99">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88"/>
      <c r="BZ432" s="88"/>
      <c r="CA432" s="88"/>
      <c r="CB432" s="88"/>
      <c r="CC432" s="88"/>
      <c r="CD432" s="88"/>
      <c r="CE432" s="88"/>
      <c r="CF432" s="88"/>
      <c r="CG432" s="88"/>
      <c r="CH432" s="88"/>
      <c r="CI432" s="88"/>
      <c r="CJ432" s="88"/>
      <c r="CK432" s="88"/>
      <c r="CL432" s="88"/>
      <c r="CM432" s="88"/>
      <c r="CN432" s="88"/>
      <c r="CO432" s="88"/>
      <c r="CP432" s="88"/>
      <c r="CQ432" s="88"/>
      <c r="CR432" s="88"/>
      <c r="CS432" s="88"/>
      <c r="CT432" s="88"/>
      <c r="CU432" s="88"/>
    </row>
    <row r="433" spans="1:99">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88"/>
      <c r="BZ433" s="88"/>
      <c r="CA433" s="88"/>
      <c r="CB433" s="88"/>
      <c r="CC433" s="88"/>
      <c r="CD433" s="88"/>
      <c r="CE433" s="88"/>
      <c r="CF433" s="88"/>
      <c r="CG433" s="88"/>
      <c r="CH433" s="88"/>
      <c r="CI433" s="88"/>
      <c r="CJ433" s="88"/>
      <c r="CK433" s="88"/>
      <c r="CL433" s="88"/>
      <c r="CM433" s="88"/>
      <c r="CN433" s="88"/>
      <c r="CO433" s="88"/>
      <c r="CP433" s="88"/>
      <c r="CQ433" s="88"/>
      <c r="CR433" s="88"/>
      <c r="CS433" s="88"/>
      <c r="CT433" s="88"/>
      <c r="CU433" s="88"/>
    </row>
    <row r="434" spans="1:99">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88"/>
      <c r="BZ434" s="88"/>
      <c r="CA434" s="88"/>
      <c r="CB434" s="88"/>
      <c r="CC434" s="88"/>
      <c r="CD434" s="88"/>
      <c r="CE434" s="88"/>
      <c r="CF434" s="88"/>
      <c r="CG434" s="88"/>
      <c r="CH434" s="88"/>
      <c r="CI434" s="88"/>
      <c r="CJ434" s="88"/>
      <c r="CK434" s="88"/>
      <c r="CL434" s="88"/>
      <c r="CM434" s="88"/>
      <c r="CN434" s="88"/>
      <c r="CO434" s="88"/>
      <c r="CP434" s="88"/>
      <c r="CQ434" s="88"/>
      <c r="CR434" s="88"/>
      <c r="CS434" s="88"/>
      <c r="CT434" s="88"/>
      <c r="CU434" s="88"/>
    </row>
    <row r="435" spans="1:99">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88"/>
      <c r="BZ435" s="88"/>
      <c r="CA435" s="88"/>
      <c r="CB435" s="88"/>
      <c r="CC435" s="88"/>
      <c r="CD435" s="88"/>
      <c r="CE435" s="88"/>
      <c r="CF435" s="88"/>
      <c r="CG435" s="88"/>
      <c r="CH435" s="88"/>
      <c r="CI435" s="88"/>
      <c r="CJ435" s="88"/>
      <c r="CK435" s="88"/>
      <c r="CL435" s="88"/>
      <c r="CM435" s="88"/>
      <c r="CN435" s="88"/>
      <c r="CO435" s="88"/>
      <c r="CP435" s="88"/>
      <c r="CQ435" s="88"/>
      <c r="CR435" s="88"/>
      <c r="CS435" s="88"/>
      <c r="CT435" s="88"/>
      <c r="CU435" s="88"/>
    </row>
    <row r="436" spans="1:99">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88"/>
      <c r="BZ436" s="88"/>
      <c r="CA436" s="88"/>
      <c r="CB436" s="88"/>
      <c r="CC436" s="88"/>
      <c r="CD436" s="88"/>
      <c r="CE436" s="88"/>
      <c r="CF436" s="88"/>
      <c r="CG436" s="88"/>
      <c r="CH436" s="88"/>
      <c r="CI436" s="88"/>
      <c r="CJ436" s="88"/>
      <c r="CK436" s="88"/>
      <c r="CL436" s="88"/>
      <c r="CM436" s="88"/>
      <c r="CN436" s="88"/>
      <c r="CO436" s="88"/>
      <c r="CP436" s="88"/>
      <c r="CQ436" s="88"/>
      <c r="CR436" s="88"/>
      <c r="CS436" s="88"/>
      <c r="CT436" s="88"/>
      <c r="CU436" s="88"/>
    </row>
    <row r="437" spans="1:99">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88"/>
      <c r="BZ437" s="88"/>
      <c r="CA437" s="88"/>
      <c r="CB437" s="88"/>
      <c r="CC437" s="88"/>
      <c r="CD437" s="88"/>
      <c r="CE437" s="88"/>
      <c r="CF437" s="88"/>
      <c r="CG437" s="88"/>
      <c r="CH437" s="88"/>
      <c r="CI437" s="88"/>
      <c r="CJ437" s="88"/>
      <c r="CK437" s="88"/>
      <c r="CL437" s="88"/>
      <c r="CM437" s="88"/>
      <c r="CN437" s="88"/>
      <c r="CO437" s="88"/>
      <c r="CP437" s="88"/>
      <c r="CQ437" s="88"/>
      <c r="CR437" s="88"/>
      <c r="CS437" s="88"/>
      <c r="CT437" s="88"/>
      <c r="CU437" s="88"/>
    </row>
    <row r="438" spans="1:99">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88"/>
      <c r="BZ438" s="88"/>
      <c r="CA438" s="88"/>
      <c r="CB438" s="88"/>
      <c r="CC438" s="88"/>
      <c r="CD438" s="88"/>
      <c r="CE438" s="88"/>
      <c r="CF438" s="88"/>
      <c r="CG438" s="88"/>
      <c r="CH438" s="88"/>
      <c r="CI438" s="88"/>
      <c r="CJ438" s="88"/>
      <c r="CK438" s="88"/>
      <c r="CL438" s="88"/>
      <c r="CM438" s="88"/>
      <c r="CN438" s="88"/>
      <c r="CO438" s="88"/>
      <c r="CP438" s="88"/>
      <c r="CQ438" s="88"/>
      <c r="CR438" s="88"/>
      <c r="CS438" s="88"/>
      <c r="CT438" s="88"/>
      <c r="CU438" s="88"/>
    </row>
    <row r="439" spans="1:99">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88"/>
      <c r="BZ439" s="88"/>
      <c r="CA439" s="88"/>
      <c r="CB439" s="88"/>
      <c r="CC439" s="88"/>
      <c r="CD439" s="88"/>
      <c r="CE439" s="88"/>
      <c r="CF439" s="88"/>
      <c r="CG439" s="88"/>
      <c r="CH439" s="88"/>
      <c r="CI439" s="88"/>
      <c r="CJ439" s="88"/>
      <c r="CK439" s="88"/>
      <c r="CL439" s="88"/>
      <c r="CM439" s="88"/>
      <c r="CN439" s="88"/>
      <c r="CO439" s="88"/>
      <c r="CP439" s="88"/>
      <c r="CQ439" s="88"/>
      <c r="CR439" s="88"/>
      <c r="CS439" s="88"/>
      <c r="CT439" s="88"/>
      <c r="CU439" s="88"/>
    </row>
    <row r="440" spans="1:99">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88"/>
      <c r="BZ440" s="88"/>
      <c r="CA440" s="88"/>
      <c r="CB440" s="88"/>
      <c r="CC440" s="88"/>
      <c r="CD440" s="88"/>
      <c r="CE440" s="88"/>
      <c r="CF440" s="88"/>
      <c r="CG440" s="88"/>
      <c r="CH440" s="88"/>
      <c r="CI440" s="88"/>
      <c r="CJ440" s="88"/>
      <c r="CK440" s="88"/>
      <c r="CL440" s="88"/>
      <c r="CM440" s="88"/>
      <c r="CN440" s="88"/>
      <c r="CO440" s="88"/>
      <c r="CP440" s="88"/>
      <c r="CQ440" s="88"/>
      <c r="CR440" s="88"/>
      <c r="CS440" s="88"/>
      <c r="CT440" s="88"/>
      <c r="CU440" s="88"/>
    </row>
    <row r="441" spans="1:99">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88"/>
      <c r="BZ441" s="88"/>
      <c r="CA441" s="88"/>
      <c r="CB441" s="88"/>
      <c r="CC441" s="88"/>
      <c r="CD441" s="88"/>
      <c r="CE441" s="88"/>
      <c r="CF441" s="88"/>
      <c r="CG441" s="88"/>
      <c r="CH441" s="88"/>
      <c r="CI441" s="88"/>
      <c r="CJ441" s="88"/>
      <c r="CK441" s="88"/>
      <c r="CL441" s="88"/>
      <c r="CM441" s="88"/>
      <c r="CN441" s="88"/>
      <c r="CO441" s="88"/>
      <c r="CP441" s="88"/>
      <c r="CQ441" s="88"/>
      <c r="CR441" s="88"/>
      <c r="CS441" s="88"/>
      <c r="CT441" s="88"/>
      <c r="CU441" s="88"/>
    </row>
    <row r="442" spans="1:99">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88"/>
      <c r="BZ442" s="88"/>
      <c r="CA442" s="88"/>
      <c r="CB442" s="88"/>
      <c r="CC442" s="88"/>
      <c r="CD442" s="88"/>
      <c r="CE442" s="88"/>
      <c r="CF442" s="88"/>
      <c r="CG442" s="88"/>
      <c r="CH442" s="88"/>
      <c r="CI442" s="88"/>
      <c r="CJ442" s="88"/>
      <c r="CK442" s="88"/>
      <c r="CL442" s="88"/>
      <c r="CM442" s="88"/>
      <c r="CN442" s="88"/>
      <c r="CO442" s="88"/>
      <c r="CP442" s="88"/>
      <c r="CQ442" s="88"/>
      <c r="CR442" s="88"/>
      <c r="CS442" s="88"/>
      <c r="CT442" s="88"/>
      <c r="CU442" s="88"/>
    </row>
    <row r="443" spans="1:99">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88"/>
      <c r="BZ443" s="88"/>
      <c r="CA443" s="88"/>
      <c r="CB443" s="88"/>
      <c r="CC443" s="88"/>
      <c r="CD443" s="88"/>
      <c r="CE443" s="88"/>
      <c r="CF443" s="88"/>
      <c r="CG443" s="88"/>
      <c r="CH443" s="88"/>
      <c r="CI443" s="88"/>
      <c r="CJ443" s="88"/>
      <c r="CK443" s="88"/>
      <c r="CL443" s="88"/>
      <c r="CM443" s="88"/>
      <c r="CN443" s="88"/>
      <c r="CO443" s="88"/>
      <c r="CP443" s="88"/>
      <c r="CQ443" s="88"/>
      <c r="CR443" s="88"/>
      <c r="CS443" s="88"/>
      <c r="CT443" s="88"/>
      <c r="CU443" s="88"/>
    </row>
    <row r="444" spans="1:99">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88"/>
      <c r="BZ444" s="88"/>
      <c r="CA444" s="88"/>
      <c r="CB444" s="88"/>
      <c r="CC444" s="88"/>
      <c r="CD444" s="88"/>
      <c r="CE444" s="88"/>
      <c r="CF444" s="88"/>
      <c r="CG444" s="88"/>
      <c r="CH444" s="88"/>
      <c r="CI444" s="88"/>
      <c r="CJ444" s="88"/>
      <c r="CK444" s="88"/>
      <c r="CL444" s="88"/>
      <c r="CM444" s="88"/>
      <c r="CN444" s="88"/>
      <c r="CO444" s="88"/>
      <c r="CP444" s="88"/>
      <c r="CQ444" s="88"/>
      <c r="CR444" s="88"/>
      <c r="CS444" s="88"/>
      <c r="CT444" s="88"/>
      <c r="CU444" s="88"/>
    </row>
    <row r="445" spans="1:99">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88"/>
      <c r="BZ445" s="88"/>
      <c r="CA445" s="88"/>
      <c r="CB445" s="88"/>
      <c r="CC445" s="88"/>
      <c r="CD445" s="88"/>
      <c r="CE445" s="88"/>
      <c r="CF445" s="88"/>
      <c r="CG445" s="88"/>
      <c r="CH445" s="88"/>
      <c r="CI445" s="88"/>
      <c r="CJ445" s="88"/>
      <c r="CK445" s="88"/>
      <c r="CL445" s="88"/>
      <c r="CM445" s="88"/>
      <c r="CN445" s="88"/>
      <c r="CO445" s="88"/>
      <c r="CP445" s="88"/>
      <c r="CQ445" s="88"/>
      <c r="CR445" s="88"/>
      <c r="CS445" s="88"/>
      <c r="CT445" s="88"/>
      <c r="CU445" s="88"/>
    </row>
    <row r="446" spans="1:99">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88"/>
      <c r="BZ446" s="88"/>
      <c r="CA446" s="88"/>
      <c r="CB446" s="88"/>
      <c r="CC446" s="88"/>
      <c r="CD446" s="88"/>
      <c r="CE446" s="88"/>
      <c r="CF446" s="88"/>
      <c r="CG446" s="88"/>
      <c r="CH446" s="88"/>
      <c r="CI446" s="88"/>
      <c r="CJ446" s="88"/>
      <c r="CK446" s="88"/>
      <c r="CL446" s="88"/>
      <c r="CM446" s="88"/>
      <c r="CN446" s="88"/>
      <c r="CO446" s="88"/>
      <c r="CP446" s="88"/>
      <c r="CQ446" s="88"/>
      <c r="CR446" s="88"/>
      <c r="CS446" s="88"/>
      <c r="CT446" s="88"/>
      <c r="CU446" s="88"/>
    </row>
    <row r="447" spans="1:99">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88"/>
      <c r="BZ447" s="88"/>
      <c r="CA447" s="88"/>
      <c r="CB447" s="88"/>
      <c r="CC447" s="88"/>
      <c r="CD447" s="88"/>
      <c r="CE447" s="88"/>
      <c r="CF447" s="88"/>
      <c r="CG447" s="88"/>
      <c r="CH447" s="88"/>
      <c r="CI447" s="88"/>
      <c r="CJ447" s="88"/>
      <c r="CK447" s="88"/>
      <c r="CL447" s="88"/>
      <c r="CM447" s="88"/>
      <c r="CN447" s="88"/>
      <c r="CO447" s="88"/>
      <c r="CP447" s="88"/>
      <c r="CQ447" s="88"/>
      <c r="CR447" s="88"/>
      <c r="CS447" s="88"/>
      <c r="CT447" s="88"/>
      <c r="CU447" s="88"/>
    </row>
    <row r="448" spans="1:99">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88"/>
      <c r="BZ448" s="88"/>
      <c r="CA448" s="88"/>
      <c r="CB448" s="88"/>
      <c r="CC448" s="88"/>
      <c r="CD448" s="88"/>
      <c r="CE448" s="88"/>
      <c r="CF448" s="88"/>
      <c r="CG448" s="88"/>
      <c r="CH448" s="88"/>
      <c r="CI448" s="88"/>
      <c r="CJ448" s="88"/>
      <c r="CK448" s="88"/>
      <c r="CL448" s="88"/>
      <c r="CM448" s="88"/>
      <c r="CN448" s="88"/>
      <c r="CO448" s="88"/>
      <c r="CP448" s="88"/>
      <c r="CQ448" s="88"/>
      <c r="CR448" s="88"/>
      <c r="CS448" s="88"/>
      <c r="CT448" s="88"/>
      <c r="CU448" s="88"/>
    </row>
    <row r="449" spans="1:99">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88"/>
      <c r="BZ449" s="88"/>
      <c r="CA449" s="88"/>
      <c r="CB449" s="88"/>
      <c r="CC449" s="88"/>
      <c r="CD449" s="88"/>
      <c r="CE449" s="88"/>
      <c r="CF449" s="88"/>
      <c r="CG449" s="88"/>
      <c r="CH449" s="88"/>
      <c r="CI449" s="88"/>
      <c r="CJ449" s="88"/>
      <c r="CK449" s="88"/>
      <c r="CL449" s="88"/>
      <c r="CM449" s="88"/>
      <c r="CN449" s="88"/>
      <c r="CO449" s="88"/>
      <c r="CP449" s="88"/>
      <c r="CQ449" s="88"/>
      <c r="CR449" s="88"/>
      <c r="CS449" s="88"/>
      <c r="CT449" s="88"/>
      <c r="CU449" s="88"/>
    </row>
    <row r="450" spans="1:99">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88"/>
      <c r="BZ450" s="88"/>
      <c r="CA450" s="88"/>
      <c r="CB450" s="88"/>
      <c r="CC450" s="88"/>
      <c r="CD450" s="88"/>
      <c r="CE450" s="88"/>
      <c r="CF450" s="88"/>
      <c r="CG450" s="88"/>
      <c r="CH450" s="88"/>
      <c r="CI450" s="88"/>
      <c r="CJ450" s="88"/>
      <c r="CK450" s="88"/>
      <c r="CL450" s="88"/>
      <c r="CM450" s="88"/>
      <c r="CN450" s="88"/>
      <c r="CO450" s="88"/>
      <c r="CP450" s="88"/>
      <c r="CQ450" s="88"/>
      <c r="CR450" s="88"/>
      <c r="CS450" s="88"/>
      <c r="CT450" s="88"/>
      <c r="CU450" s="88"/>
    </row>
    <row r="451" spans="1:99">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88"/>
      <c r="BZ451" s="88"/>
      <c r="CA451" s="88"/>
      <c r="CB451" s="88"/>
      <c r="CC451" s="88"/>
      <c r="CD451" s="88"/>
      <c r="CE451" s="88"/>
      <c r="CF451" s="88"/>
      <c r="CG451" s="88"/>
      <c r="CH451" s="88"/>
      <c r="CI451" s="88"/>
      <c r="CJ451" s="88"/>
      <c r="CK451" s="88"/>
      <c r="CL451" s="88"/>
      <c r="CM451" s="88"/>
      <c r="CN451" s="88"/>
      <c r="CO451" s="88"/>
      <c r="CP451" s="88"/>
      <c r="CQ451" s="88"/>
      <c r="CR451" s="88"/>
      <c r="CS451" s="88"/>
      <c r="CT451" s="88"/>
      <c r="CU451" s="88"/>
    </row>
    <row r="452" spans="1:99">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88"/>
      <c r="BZ452" s="88"/>
      <c r="CA452" s="88"/>
      <c r="CB452" s="88"/>
      <c r="CC452" s="88"/>
      <c r="CD452" s="88"/>
      <c r="CE452" s="88"/>
      <c r="CF452" s="88"/>
      <c r="CG452" s="88"/>
      <c r="CH452" s="88"/>
      <c r="CI452" s="88"/>
      <c r="CJ452" s="88"/>
      <c r="CK452" s="88"/>
      <c r="CL452" s="88"/>
      <c r="CM452" s="88"/>
      <c r="CN452" s="88"/>
      <c r="CO452" s="88"/>
      <c r="CP452" s="88"/>
      <c r="CQ452" s="88"/>
      <c r="CR452" s="88"/>
      <c r="CS452" s="88"/>
      <c r="CT452" s="88"/>
      <c r="CU452" s="88"/>
    </row>
    <row r="453" spans="1:99">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88"/>
      <c r="BZ453" s="88"/>
      <c r="CA453" s="88"/>
      <c r="CB453" s="88"/>
      <c r="CC453" s="88"/>
      <c r="CD453" s="88"/>
      <c r="CE453" s="88"/>
      <c r="CF453" s="88"/>
      <c r="CG453" s="88"/>
      <c r="CH453" s="88"/>
      <c r="CI453" s="88"/>
      <c r="CJ453" s="88"/>
      <c r="CK453" s="88"/>
      <c r="CL453" s="88"/>
      <c r="CM453" s="88"/>
      <c r="CN453" s="88"/>
      <c r="CO453" s="88"/>
      <c r="CP453" s="88"/>
      <c r="CQ453" s="88"/>
      <c r="CR453" s="88"/>
      <c r="CS453" s="88"/>
      <c r="CT453" s="88"/>
      <c r="CU453" s="88"/>
    </row>
    <row r="454" spans="1:99">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88"/>
      <c r="BZ454" s="88"/>
      <c r="CA454" s="88"/>
      <c r="CB454" s="88"/>
      <c r="CC454" s="88"/>
      <c r="CD454" s="88"/>
      <c r="CE454" s="88"/>
      <c r="CF454" s="88"/>
      <c r="CG454" s="88"/>
      <c r="CH454" s="88"/>
      <c r="CI454" s="88"/>
      <c r="CJ454" s="88"/>
      <c r="CK454" s="88"/>
      <c r="CL454" s="88"/>
      <c r="CM454" s="88"/>
      <c r="CN454" s="88"/>
      <c r="CO454" s="88"/>
      <c r="CP454" s="88"/>
      <c r="CQ454" s="88"/>
      <c r="CR454" s="88"/>
      <c r="CS454" s="88"/>
      <c r="CT454" s="88"/>
      <c r="CU454" s="88"/>
    </row>
    <row r="455" spans="1:99">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88"/>
      <c r="BZ455" s="88"/>
      <c r="CA455" s="88"/>
      <c r="CB455" s="88"/>
      <c r="CC455" s="88"/>
      <c r="CD455" s="88"/>
      <c r="CE455" s="88"/>
      <c r="CF455" s="88"/>
      <c r="CG455" s="88"/>
      <c r="CH455" s="88"/>
      <c r="CI455" s="88"/>
      <c r="CJ455" s="88"/>
      <c r="CK455" s="88"/>
      <c r="CL455" s="88"/>
      <c r="CM455" s="88"/>
      <c r="CN455" s="88"/>
      <c r="CO455" s="88"/>
      <c r="CP455" s="88"/>
      <c r="CQ455" s="88"/>
      <c r="CR455" s="88"/>
      <c r="CS455" s="88"/>
      <c r="CT455" s="88"/>
      <c r="CU455" s="88"/>
    </row>
    <row r="456" spans="1:99">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88"/>
      <c r="BZ456" s="88"/>
      <c r="CA456" s="88"/>
      <c r="CB456" s="88"/>
      <c r="CC456" s="88"/>
      <c r="CD456" s="88"/>
      <c r="CE456" s="88"/>
      <c r="CF456" s="88"/>
      <c r="CG456" s="88"/>
      <c r="CH456" s="88"/>
      <c r="CI456" s="88"/>
      <c r="CJ456" s="88"/>
      <c r="CK456" s="88"/>
      <c r="CL456" s="88"/>
      <c r="CM456" s="88"/>
      <c r="CN456" s="88"/>
      <c r="CO456" s="88"/>
      <c r="CP456" s="88"/>
      <c r="CQ456" s="88"/>
      <c r="CR456" s="88"/>
      <c r="CS456" s="88"/>
      <c r="CT456" s="88"/>
      <c r="CU456" s="88"/>
    </row>
    <row r="457" spans="1:99">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88"/>
      <c r="BZ457" s="88"/>
      <c r="CA457" s="88"/>
      <c r="CB457" s="88"/>
      <c r="CC457" s="88"/>
      <c r="CD457" s="88"/>
      <c r="CE457" s="88"/>
      <c r="CF457" s="88"/>
      <c r="CG457" s="88"/>
      <c r="CH457" s="88"/>
      <c r="CI457" s="88"/>
      <c r="CJ457" s="88"/>
      <c r="CK457" s="88"/>
      <c r="CL457" s="88"/>
      <c r="CM457" s="88"/>
      <c r="CN457" s="88"/>
      <c r="CO457" s="88"/>
      <c r="CP457" s="88"/>
      <c r="CQ457" s="88"/>
      <c r="CR457" s="88"/>
      <c r="CS457" s="88"/>
      <c r="CT457" s="88"/>
      <c r="CU457" s="88"/>
    </row>
    <row r="458" spans="1:99">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88"/>
      <c r="BZ458" s="88"/>
      <c r="CA458" s="88"/>
      <c r="CB458" s="88"/>
      <c r="CC458" s="88"/>
      <c r="CD458" s="88"/>
      <c r="CE458" s="88"/>
      <c r="CF458" s="88"/>
      <c r="CG458" s="88"/>
      <c r="CH458" s="88"/>
      <c r="CI458" s="88"/>
      <c r="CJ458" s="88"/>
      <c r="CK458" s="88"/>
      <c r="CL458" s="88"/>
      <c r="CM458" s="88"/>
      <c r="CN458" s="88"/>
      <c r="CO458" s="88"/>
      <c r="CP458" s="88"/>
      <c r="CQ458" s="88"/>
      <c r="CR458" s="88"/>
      <c r="CS458" s="88"/>
      <c r="CT458" s="88"/>
      <c r="CU458" s="88"/>
    </row>
    <row r="459" spans="1:99">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88"/>
      <c r="BZ459" s="88"/>
      <c r="CA459" s="88"/>
      <c r="CB459" s="88"/>
      <c r="CC459" s="88"/>
      <c r="CD459" s="88"/>
      <c r="CE459" s="88"/>
      <c r="CF459" s="88"/>
      <c r="CG459" s="88"/>
      <c r="CH459" s="88"/>
      <c r="CI459" s="88"/>
      <c r="CJ459" s="88"/>
      <c r="CK459" s="88"/>
      <c r="CL459" s="88"/>
      <c r="CM459" s="88"/>
      <c r="CN459" s="88"/>
      <c r="CO459" s="88"/>
      <c r="CP459" s="88"/>
      <c r="CQ459" s="88"/>
      <c r="CR459" s="88"/>
      <c r="CS459" s="88"/>
      <c r="CT459" s="88"/>
      <c r="CU459" s="88"/>
    </row>
    <row r="460" spans="1:99">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88"/>
      <c r="BZ460" s="88"/>
      <c r="CA460" s="88"/>
      <c r="CB460" s="88"/>
      <c r="CC460" s="88"/>
      <c r="CD460" s="88"/>
      <c r="CE460" s="88"/>
      <c r="CF460" s="88"/>
      <c r="CG460" s="88"/>
      <c r="CH460" s="88"/>
      <c r="CI460" s="88"/>
      <c r="CJ460" s="88"/>
      <c r="CK460" s="88"/>
      <c r="CL460" s="88"/>
      <c r="CM460" s="88"/>
      <c r="CN460" s="88"/>
      <c r="CO460" s="88"/>
      <c r="CP460" s="88"/>
      <c r="CQ460" s="88"/>
      <c r="CR460" s="88"/>
      <c r="CS460" s="88"/>
      <c r="CT460" s="88"/>
      <c r="CU460" s="88"/>
    </row>
    <row r="461" spans="1:99">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88"/>
      <c r="BZ461" s="88"/>
      <c r="CA461" s="88"/>
      <c r="CB461" s="88"/>
      <c r="CC461" s="88"/>
      <c r="CD461" s="88"/>
      <c r="CE461" s="88"/>
      <c r="CF461" s="88"/>
      <c r="CG461" s="88"/>
      <c r="CH461" s="88"/>
      <c r="CI461" s="88"/>
      <c r="CJ461" s="88"/>
      <c r="CK461" s="88"/>
      <c r="CL461" s="88"/>
      <c r="CM461" s="88"/>
      <c r="CN461" s="88"/>
      <c r="CO461" s="88"/>
      <c r="CP461" s="88"/>
      <c r="CQ461" s="88"/>
      <c r="CR461" s="88"/>
      <c r="CS461" s="88"/>
      <c r="CT461" s="88"/>
      <c r="CU461" s="88"/>
    </row>
    <row r="462" spans="1:99">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88"/>
      <c r="BZ462" s="88"/>
      <c r="CA462" s="88"/>
      <c r="CB462" s="88"/>
      <c r="CC462" s="88"/>
      <c r="CD462" s="88"/>
      <c r="CE462" s="88"/>
      <c r="CF462" s="88"/>
      <c r="CG462" s="88"/>
      <c r="CH462" s="88"/>
      <c r="CI462" s="88"/>
      <c r="CJ462" s="88"/>
      <c r="CK462" s="88"/>
      <c r="CL462" s="88"/>
      <c r="CM462" s="88"/>
      <c r="CN462" s="88"/>
      <c r="CO462" s="88"/>
      <c r="CP462" s="88"/>
      <c r="CQ462" s="88"/>
      <c r="CR462" s="88"/>
      <c r="CS462" s="88"/>
      <c r="CT462" s="88"/>
      <c r="CU462" s="88"/>
    </row>
    <row r="463" spans="1:99">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88"/>
      <c r="BZ463" s="88"/>
      <c r="CA463" s="88"/>
      <c r="CB463" s="88"/>
      <c r="CC463" s="88"/>
      <c r="CD463" s="88"/>
      <c r="CE463" s="88"/>
      <c r="CF463" s="88"/>
      <c r="CG463" s="88"/>
      <c r="CH463" s="88"/>
      <c r="CI463" s="88"/>
      <c r="CJ463" s="88"/>
      <c r="CK463" s="88"/>
      <c r="CL463" s="88"/>
      <c r="CM463" s="88"/>
      <c r="CN463" s="88"/>
      <c r="CO463" s="88"/>
      <c r="CP463" s="88"/>
      <c r="CQ463" s="88"/>
      <c r="CR463" s="88"/>
      <c r="CS463" s="88"/>
      <c r="CT463" s="88"/>
      <c r="CU463" s="88"/>
    </row>
    <row r="464" spans="1:99">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88"/>
      <c r="BZ464" s="88"/>
      <c r="CA464" s="88"/>
      <c r="CB464" s="88"/>
      <c r="CC464" s="88"/>
      <c r="CD464" s="88"/>
      <c r="CE464" s="88"/>
      <c r="CF464" s="88"/>
      <c r="CG464" s="88"/>
      <c r="CH464" s="88"/>
      <c r="CI464" s="88"/>
      <c r="CJ464" s="88"/>
      <c r="CK464" s="88"/>
      <c r="CL464" s="88"/>
      <c r="CM464" s="88"/>
      <c r="CN464" s="88"/>
      <c r="CO464" s="88"/>
      <c r="CP464" s="88"/>
      <c r="CQ464" s="88"/>
      <c r="CR464" s="88"/>
      <c r="CS464" s="88"/>
      <c r="CT464" s="88"/>
      <c r="CU464" s="88"/>
    </row>
    <row r="465" spans="1:99">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88"/>
      <c r="BZ465" s="88"/>
      <c r="CA465" s="88"/>
      <c r="CB465" s="88"/>
      <c r="CC465" s="88"/>
      <c r="CD465" s="88"/>
      <c r="CE465" s="88"/>
      <c r="CF465" s="88"/>
      <c r="CG465" s="88"/>
      <c r="CH465" s="88"/>
      <c r="CI465" s="88"/>
      <c r="CJ465" s="88"/>
      <c r="CK465" s="88"/>
      <c r="CL465" s="88"/>
      <c r="CM465" s="88"/>
      <c r="CN465" s="88"/>
      <c r="CO465" s="88"/>
      <c r="CP465" s="88"/>
      <c r="CQ465" s="88"/>
      <c r="CR465" s="88"/>
      <c r="CS465" s="88"/>
      <c r="CT465" s="88"/>
      <c r="CU465" s="88"/>
    </row>
    <row r="466" spans="1:99">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88"/>
      <c r="BZ466" s="88"/>
      <c r="CA466" s="88"/>
      <c r="CB466" s="88"/>
      <c r="CC466" s="88"/>
      <c r="CD466" s="88"/>
      <c r="CE466" s="88"/>
      <c r="CF466" s="88"/>
      <c r="CG466" s="88"/>
      <c r="CH466" s="88"/>
      <c r="CI466" s="88"/>
      <c r="CJ466" s="88"/>
      <c r="CK466" s="88"/>
      <c r="CL466" s="88"/>
      <c r="CM466" s="88"/>
      <c r="CN466" s="88"/>
      <c r="CO466" s="88"/>
      <c r="CP466" s="88"/>
      <c r="CQ466" s="88"/>
      <c r="CR466" s="88"/>
      <c r="CS466" s="88"/>
      <c r="CT466" s="88"/>
      <c r="CU466" s="88"/>
    </row>
    <row r="467" spans="1:99">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88"/>
      <c r="BZ467" s="88"/>
      <c r="CA467" s="88"/>
      <c r="CB467" s="88"/>
      <c r="CC467" s="88"/>
      <c r="CD467" s="88"/>
      <c r="CE467" s="88"/>
      <c r="CF467" s="88"/>
      <c r="CG467" s="88"/>
      <c r="CH467" s="88"/>
      <c r="CI467" s="88"/>
      <c r="CJ467" s="88"/>
      <c r="CK467" s="88"/>
      <c r="CL467" s="88"/>
      <c r="CM467" s="88"/>
      <c r="CN467" s="88"/>
      <c r="CO467" s="88"/>
      <c r="CP467" s="88"/>
      <c r="CQ467" s="88"/>
      <c r="CR467" s="88"/>
      <c r="CS467" s="88"/>
      <c r="CT467" s="88"/>
      <c r="CU467" s="88"/>
    </row>
    <row r="468" spans="1:99">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88"/>
      <c r="BZ468" s="88"/>
      <c r="CA468" s="88"/>
      <c r="CB468" s="88"/>
      <c r="CC468" s="88"/>
      <c r="CD468" s="88"/>
      <c r="CE468" s="88"/>
      <c r="CF468" s="88"/>
      <c r="CG468" s="88"/>
      <c r="CH468" s="88"/>
      <c r="CI468" s="88"/>
      <c r="CJ468" s="88"/>
      <c r="CK468" s="88"/>
      <c r="CL468" s="88"/>
      <c r="CM468" s="88"/>
      <c r="CN468" s="88"/>
      <c r="CO468" s="88"/>
      <c r="CP468" s="88"/>
      <c r="CQ468" s="88"/>
      <c r="CR468" s="88"/>
      <c r="CS468" s="88"/>
      <c r="CT468" s="88"/>
      <c r="CU468" s="88"/>
    </row>
    <row r="469" spans="1:99">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88"/>
      <c r="BZ469" s="88"/>
      <c r="CA469" s="88"/>
      <c r="CB469" s="88"/>
      <c r="CC469" s="88"/>
      <c r="CD469" s="88"/>
      <c r="CE469" s="88"/>
      <c r="CF469" s="88"/>
      <c r="CG469" s="88"/>
      <c r="CH469" s="88"/>
      <c r="CI469" s="88"/>
      <c r="CJ469" s="88"/>
      <c r="CK469" s="88"/>
      <c r="CL469" s="88"/>
      <c r="CM469" s="88"/>
      <c r="CN469" s="88"/>
      <c r="CO469" s="88"/>
      <c r="CP469" s="88"/>
      <c r="CQ469" s="88"/>
      <c r="CR469" s="88"/>
      <c r="CS469" s="88"/>
      <c r="CT469" s="88"/>
      <c r="CU469" s="88"/>
    </row>
    <row r="470" spans="1:99">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88"/>
      <c r="BZ470" s="88"/>
      <c r="CA470" s="88"/>
      <c r="CB470" s="88"/>
      <c r="CC470" s="88"/>
      <c r="CD470" s="88"/>
      <c r="CE470" s="88"/>
      <c r="CF470" s="88"/>
      <c r="CG470" s="88"/>
      <c r="CH470" s="88"/>
      <c r="CI470" s="88"/>
      <c r="CJ470" s="88"/>
      <c r="CK470" s="88"/>
      <c r="CL470" s="88"/>
      <c r="CM470" s="88"/>
      <c r="CN470" s="88"/>
      <c r="CO470" s="88"/>
      <c r="CP470" s="88"/>
      <c r="CQ470" s="88"/>
      <c r="CR470" s="88"/>
      <c r="CS470" s="88"/>
      <c r="CT470" s="88"/>
      <c r="CU470" s="88"/>
    </row>
    <row r="471" spans="1:99">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88"/>
      <c r="BZ471" s="88"/>
      <c r="CA471" s="88"/>
      <c r="CB471" s="88"/>
      <c r="CC471" s="88"/>
      <c r="CD471" s="88"/>
      <c r="CE471" s="88"/>
      <c r="CF471" s="88"/>
      <c r="CG471" s="88"/>
      <c r="CH471" s="88"/>
      <c r="CI471" s="88"/>
      <c r="CJ471" s="88"/>
      <c r="CK471" s="88"/>
      <c r="CL471" s="88"/>
      <c r="CM471" s="88"/>
      <c r="CN471" s="88"/>
      <c r="CO471" s="88"/>
      <c r="CP471" s="88"/>
      <c r="CQ471" s="88"/>
      <c r="CR471" s="88"/>
      <c r="CS471" s="88"/>
      <c r="CT471" s="88"/>
      <c r="CU471" s="88"/>
    </row>
    <row r="472" spans="1:99">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88"/>
      <c r="BZ472" s="88"/>
      <c r="CA472" s="88"/>
      <c r="CB472" s="88"/>
      <c r="CC472" s="88"/>
      <c r="CD472" s="88"/>
      <c r="CE472" s="88"/>
      <c r="CF472" s="88"/>
      <c r="CG472" s="88"/>
      <c r="CH472" s="88"/>
      <c r="CI472" s="88"/>
      <c r="CJ472" s="88"/>
      <c r="CK472" s="88"/>
      <c r="CL472" s="88"/>
      <c r="CM472" s="88"/>
      <c r="CN472" s="88"/>
      <c r="CO472" s="88"/>
      <c r="CP472" s="88"/>
      <c r="CQ472" s="88"/>
      <c r="CR472" s="88"/>
      <c r="CS472" s="88"/>
      <c r="CT472" s="88"/>
      <c r="CU472" s="88"/>
    </row>
    <row r="473" spans="1:99">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88"/>
      <c r="BZ473" s="88"/>
      <c r="CA473" s="88"/>
      <c r="CB473" s="88"/>
      <c r="CC473" s="88"/>
      <c r="CD473" s="88"/>
      <c r="CE473" s="88"/>
      <c r="CF473" s="88"/>
      <c r="CG473" s="88"/>
      <c r="CH473" s="88"/>
      <c r="CI473" s="88"/>
      <c r="CJ473" s="88"/>
      <c r="CK473" s="88"/>
      <c r="CL473" s="88"/>
      <c r="CM473" s="88"/>
      <c r="CN473" s="88"/>
      <c r="CO473" s="88"/>
      <c r="CP473" s="88"/>
      <c r="CQ473" s="88"/>
      <c r="CR473" s="88"/>
      <c r="CS473" s="88"/>
      <c r="CT473" s="88"/>
      <c r="CU473" s="88"/>
    </row>
    <row r="474" spans="1:99">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88"/>
      <c r="BZ474" s="88"/>
      <c r="CA474" s="88"/>
      <c r="CB474" s="88"/>
      <c r="CC474" s="88"/>
      <c r="CD474" s="88"/>
      <c r="CE474" s="88"/>
      <c r="CF474" s="88"/>
      <c r="CG474" s="88"/>
      <c r="CH474" s="88"/>
      <c r="CI474" s="88"/>
      <c r="CJ474" s="88"/>
      <c r="CK474" s="88"/>
      <c r="CL474" s="88"/>
      <c r="CM474" s="88"/>
      <c r="CN474" s="88"/>
      <c r="CO474" s="88"/>
      <c r="CP474" s="88"/>
      <c r="CQ474" s="88"/>
      <c r="CR474" s="88"/>
      <c r="CS474" s="88"/>
      <c r="CT474" s="88"/>
      <c r="CU474" s="88"/>
    </row>
    <row r="475" spans="1:99">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88"/>
      <c r="BZ475" s="88"/>
      <c r="CA475" s="88"/>
      <c r="CB475" s="88"/>
      <c r="CC475" s="88"/>
      <c r="CD475" s="88"/>
      <c r="CE475" s="88"/>
      <c r="CF475" s="88"/>
      <c r="CG475" s="88"/>
      <c r="CH475" s="88"/>
      <c r="CI475" s="88"/>
      <c r="CJ475" s="88"/>
      <c r="CK475" s="88"/>
      <c r="CL475" s="88"/>
      <c r="CM475" s="88"/>
      <c r="CN475" s="88"/>
      <c r="CO475" s="88"/>
      <c r="CP475" s="88"/>
      <c r="CQ475" s="88"/>
      <c r="CR475" s="88"/>
      <c r="CS475" s="88"/>
      <c r="CT475" s="88"/>
      <c r="CU475" s="88"/>
    </row>
    <row r="476" spans="1:99">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88"/>
      <c r="BZ476" s="88"/>
      <c r="CA476" s="88"/>
      <c r="CB476" s="88"/>
      <c r="CC476" s="88"/>
      <c r="CD476" s="88"/>
      <c r="CE476" s="88"/>
      <c r="CF476" s="88"/>
      <c r="CG476" s="88"/>
      <c r="CH476" s="88"/>
      <c r="CI476" s="88"/>
      <c r="CJ476" s="88"/>
      <c r="CK476" s="88"/>
      <c r="CL476" s="88"/>
      <c r="CM476" s="88"/>
      <c r="CN476" s="88"/>
      <c r="CO476" s="88"/>
      <c r="CP476" s="88"/>
      <c r="CQ476" s="88"/>
      <c r="CR476" s="88"/>
      <c r="CS476" s="88"/>
      <c r="CT476" s="88"/>
      <c r="CU476" s="88"/>
    </row>
    <row r="477" spans="1:99">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88"/>
      <c r="BZ477" s="88"/>
      <c r="CA477" s="88"/>
      <c r="CB477" s="88"/>
      <c r="CC477" s="88"/>
      <c r="CD477" s="88"/>
      <c r="CE477" s="88"/>
      <c r="CF477" s="88"/>
      <c r="CG477" s="88"/>
      <c r="CH477" s="88"/>
      <c r="CI477" s="88"/>
      <c r="CJ477" s="88"/>
      <c r="CK477" s="88"/>
      <c r="CL477" s="88"/>
      <c r="CM477" s="88"/>
      <c r="CN477" s="88"/>
      <c r="CO477" s="88"/>
      <c r="CP477" s="88"/>
      <c r="CQ477" s="88"/>
      <c r="CR477" s="88"/>
      <c r="CS477" s="88"/>
      <c r="CT477" s="88"/>
      <c r="CU477" s="88"/>
    </row>
    <row r="478" spans="1:99">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88"/>
      <c r="BZ478" s="88"/>
      <c r="CA478" s="88"/>
      <c r="CB478" s="88"/>
      <c r="CC478" s="88"/>
      <c r="CD478" s="88"/>
      <c r="CE478" s="88"/>
      <c r="CF478" s="88"/>
      <c r="CG478" s="88"/>
      <c r="CH478" s="88"/>
      <c r="CI478" s="88"/>
      <c r="CJ478" s="88"/>
      <c r="CK478" s="88"/>
      <c r="CL478" s="88"/>
      <c r="CM478" s="88"/>
      <c r="CN478" s="88"/>
      <c r="CO478" s="88"/>
      <c r="CP478" s="88"/>
      <c r="CQ478" s="88"/>
      <c r="CR478" s="88"/>
      <c r="CS478" s="88"/>
      <c r="CT478" s="88"/>
      <c r="CU478" s="88"/>
    </row>
    <row r="479" spans="1:99">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88"/>
      <c r="BZ479" s="88"/>
      <c r="CA479" s="88"/>
      <c r="CB479" s="88"/>
      <c r="CC479" s="88"/>
      <c r="CD479" s="88"/>
      <c r="CE479" s="88"/>
      <c r="CF479" s="88"/>
      <c r="CG479" s="88"/>
      <c r="CH479" s="88"/>
      <c r="CI479" s="88"/>
      <c r="CJ479" s="88"/>
      <c r="CK479" s="88"/>
      <c r="CL479" s="88"/>
      <c r="CM479" s="88"/>
      <c r="CN479" s="88"/>
      <c r="CO479" s="88"/>
      <c r="CP479" s="88"/>
      <c r="CQ479" s="88"/>
      <c r="CR479" s="88"/>
      <c r="CS479" s="88"/>
      <c r="CT479" s="88"/>
      <c r="CU479" s="88"/>
    </row>
    <row r="480" spans="1:99">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88"/>
      <c r="BZ480" s="88"/>
      <c r="CA480" s="88"/>
      <c r="CB480" s="88"/>
      <c r="CC480" s="88"/>
      <c r="CD480" s="88"/>
      <c r="CE480" s="88"/>
      <c r="CF480" s="88"/>
      <c r="CG480" s="88"/>
      <c r="CH480" s="88"/>
      <c r="CI480" s="88"/>
      <c r="CJ480" s="88"/>
      <c r="CK480" s="88"/>
      <c r="CL480" s="88"/>
      <c r="CM480" s="88"/>
      <c r="CN480" s="88"/>
      <c r="CO480" s="88"/>
      <c r="CP480" s="88"/>
      <c r="CQ480" s="88"/>
      <c r="CR480" s="88"/>
      <c r="CS480" s="88"/>
      <c r="CT480" s="88"/>
      <c r="CU480" s="88"/>
    </row>
    <row r="481" spans="1:99">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88"/>
      <c r="BZ481" s="88"/>
      <c r="CA481" s="88"/>
      <c r="CB481" s="88"/>
      <c r="CC481" s="88"/>
      <c r="CD481" s="88"/>
      <c r="CE481" s="88"/>
      <c r="CF481" s="88"/>
      <c r="CG481" s="88"/>
      <c r="CH481" s="88"/>
      <c r="CI481" s="88"/>
      <c r="CJ481" s="88"/>
      <c r="CK481" s="88"/>
      <c r="CL481" s="88"/>
      <c r="CM481" s="88"/>
      <c r="CN481" s="88"/>
      <c r="CO481" s="88"/>
      <c r="CP481" s="88"/>
      <c r="CQ481" s="88"/>
      <c r="CR481" s="88"/>
      <c r="CS481" s="88"/>
      <c r="CT481" s="88"/>
      <c r="CU481" s="88"/>
    </row>
    <row r="482" spans="1:99">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88"/>
      <c r="BZ482" s="88"/>
      <c r="CA482" s="88"/>
      <c r="CB482" s="88"/>
      <c r="CC482" s="88"/>
      <c r="CD482" s="88"/>
      <c r="CE482" s="88"/>
      <c r="CF482" s="88"/>
      <c r="CG482" s="88"/>
      <c r="CH482" s="88"/>
      <c r="CI482" s="88"/>
      <c r="CJ482" s="88"/>
      <c r="CK482" s="88"/>
      <c r="CL482" s="88"/>
      <c r="CM482" s="88"/>
      <c r="CN482" s="88"/>
      <c r="CO482" s="88"/>
      <c r="CP482" s="88"/>
    </row>
    <row r="483" spans="1:99">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88"/>
      <c r="BZ483" s="88"/>
      <c r="CA483" s="88"/>
      <c r="CB483" s="88"/>
      <c r="CC483" s="88"/>
      <c r="CD483" s="88"/>
      <c r="CE483" s="88"/>
      <c r="CF483" s="88"/>
      <c r="CG483" s="88"/>
      <c r="CH483" s="88"/>
      <c r="CI483" s="88"/>
      <c r="CJ483" s="88"/>
      <c r="CK483" s="88"/>
      <c r="CL483" s="88"/>
      <c r="CM483" s="88"/>
      <c r="CN483" s="88"/>
      <c r="CO483" s="88"/>
      <c r="CP483" s="88"/>
    </row>
    <row r="484" spans="1:99">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88"/>
      <c r="BZ484" s="88"/>
      <c r="CA484" s="88"/>
      <c r="CB484" s="88"/>
      <c r="CC484" s="88"/>
      <c r="CD484" s="88"/>
      <c r="CE484" s="88"/>
      <c r="CF484" s="88"/>
      <c r="CG484" s="88"/>
      <c r="CH484" s="88"/>
      <c r="CI484" s="88"/>
      <c r="CJ484" s="88"/>
      <c r="CK484" s="88"/>
      <c r="CL484" s="88"/>
      <c r="CM484" s="88"/>
      <c r="CN484" s="88"/>
      <c r="CO484" s="88"/>
      <c r="CP484" s="88"/>
    </row>
    <row r="485" spans="1:99">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88"/>
      <c r="BZ485" s="88"/>
      <c r="CA485" s="88"/>
      <c r="CB485" s="88"/>
      <c r="CC485" s="88"/>
      <c r="CD485" s="88"/>
      <c r="CE485" s="88"/>
      <c r="CF485" s="88"/>
      <c r="CG485" s="88"/>
      <c r="CH485" s="88"/>
      <c r="CI485" s="88"/>
      <c r="CJ485" s="88"/>
      <c r="CK485" s="88"/>
      <c r="CL485" s="88"/>
      <c r="CM485" s="88"/>
      <c r="CN485" s="88"/>
      <c r="CO485" s="88"/>
      <c r="CP485" s="88"/>
    </row>
    <row r="486" spans="1:99">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88"/>
      <c r="BZ486" s="88"/>
      <c r="CA486" s="88"/>
      <c r="CB486" s="88"/>
      <c r="CC486" s="88"/>
      <c r="CD486" s="88"/>
      <c r="CE486" s="88"/>
      <c r="CF486" s="88"/>
      <c r="CG486" s="88"/>
      <c r="CH486" s="88"/>
      <c r="CI486" s="88"/>
      <c r="CJ486" s="88"/>
      <c r="CK486" s="88"/>
      <c r="CL486" s="88"/>
      <c r="CM486" s="88"/>
      <c r="CN486" s="88"/>
      <c r="CO486" s="88"/>
      <c r="CP486" s="88"/>
    </row>
    <row r="487" spans="1:99">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88"/>
      <c r="BZ487" s="88"/>
      <c r="CA487" s="88"/>
      <c r="CB487" s="88"/>
      <c r="CC487" s="88"/>
      <c r="CD487" s="88"/>
      <c r="CE487" s="88"/>
      <c r="CF487" s="88"/>
      <c r="CG487" s="88"/>
      <c r="CH487" s="88"/>
      <c r="CI487" s="88"/>
      <c r="CJ487" s="88"/>
      <c r="CK487" s="88"/>
      <c r="CL487" s="88"/>
      <c r="CM487" s="88"/>
      <c r="CN487" s="88"/>
      <c r="CO487" s="88"/>
      <c r="CP487" s="88"/>
    </row>
    <row r="488" spans="1:99">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88"/>
      <c r="BZ488" s="88"/>
      <c r="CA488" s="88"/>
      <c r="CB488" s="88"/>
      <c r="CC488" s="88"/>
      <c r="CD488" s="88"/>
      <c r="CE488" s="88"/>
      <c r="CF488" s="88"/>
      <c r="CG488" s="88"/>
      <c r="CH488" s="88"/>
      <c r="CI488" s="88"/>
      <c r="CJ488" s="88"/>
      <c r="CK488" s="88"/>
      <c r="CL488" s="88"/>
      <c r="CM488" s="88"/>
      <c r="CN488" s="88"/>
      <c r="CO488" s="88"/>
      <c r="CP488" s="88"/>
    </row>
    <row r="489" spans="1:99">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88"/>
      <c r="BZ489" s="88"/>
      <c r="CA489" s="88"/>
      <c r="CB489" s="88"/>
      <c r="CC489" s="88"/>
      <c r="CD489" s="88"/>
      <c r="CE489" s="88"/>
      <c r="CF489" s="88"/>
      <c r="CG489" s="88"/>
      <c r="CH489" s="88"/>
      <c r="CI489" s="88"/>
      <c r="CJ489" s="88"/>
      <c r="CK489" s="88"/>
      <c r="CL489" s="88"/>
      <c r="CM489" s="88"/>
      <c r="CN489" s="88"/>
      <c r="CO489" s="88"/>
      <c r="CP489" s="88"/>
    </row>
    <row r="490" spans="1:99">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88"/>
      <c r="BZ490" s="88"/>
      <c r="CA490" s="88"/>
      <c r="CB490" s="88"/>
      <c r="CC490" s="88"/>
      <c r="CD490" s="88"/>
      <c r="CE490" s="88"/>
      <c r="CF490" s="88"/>
      <c r="CG490" s="88"/>
      <c r="CH490" s="88"/>
      <c r="CI490" s="88"/>
      <c r="CJ490" s="88"/>
      <c r="CK490" s="88"/>
      <c r="CL490" s="88"/>
      <c r="CM490" s="88"/>
      <c r="CN490" s="88"/>
      <c r="CO490" s="88"/>
      <c r="CP490" s="88"/>
    </row>
    <row r="491" spans="1:99">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88"/>
      <c r="BZ491" s="88"/>
      <c r="CA491" s="88"/>
      <c r="CB491" s="88"/>
      <c r="CC491" s="88"/>
      <c r="CD491" s="88"/>
      <c r="CE491" s="88"/>
      <c r="CF491" s="88"/>
      <c r="CG491" s="88"/>
      <c r="CH491" s="88"/>
      <c r="CI491" s="88"/>
      <c r="CJ491" s="88"/>
      <c r="CK491" s="88"/>
      <c r="CL491" s="88"/>
      <c r="CM491" s="88"/>
      <c r="CN491" s="88"/>
      <c r="CO491" s="88"/>
      <c r="CP491" s="88"/>
    </row>
    <row r="492" spans="1:99">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88"/>
      <c r="BZ492" s="88"/>
      <c r="CA492" s="88"/>
      <c r="CB492" s="88"/>
      <c r="CC492" s="88"/>
      <c r="CD492" s="88"/>
      <c r="CE492" s="88"/>
      <c r="CF492" s="88"/>
      <c r="CG492" s="88"/>
      <c r="CH492" s="88"/>
      <c r="CI492" s="88"/>
      <c r="CJ492" s="88"/>
      <c r="CK492" s="88"/>
      <c r="CL492" s="88"/>
      <c r="CM492" s="88"/>
      <c r="CN492" s="88"/>
      <c r="CO492" s="88"/>
      <c r="CP492" s="88"/>
    </row>
    <row r="493" spans="1:99">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88"/>
      <c r="BZ493" s="88"/>
      <c r="CA493" s="88"/>
      <c r="CB493" s="88"/>
      <c r="CC493" s="88"/>
      <c r="CD493" s="88"/>
      <c r="CE493" s="88"/>
      <c r="CF493" s="88"/>
      <c r="CG493" s="88"/>
      <c r="CH493" s="88"/>
      <c r="CI493" s="88"/>
      <c r="CJ493" s="88"/>
      <c r="CK493" s="88"/>
      <c r="CL493" s="88"/>
      <c r="CM493" s="88"/>
      <c r="CN493" s="88"/>
      <c r="CO493" s="88"/>
      <c r="CP493" s="88"/>
    </row>
    <row r="494" spans="1:99">
      <c r="A494" s="88"/>
      <c r="B494" s="88"/>
      <c r="C494" s="88"/>
    </row>
    <row r="495" spans="1:99">
      <c r="A495" s="88"/>
      <c r="B495" s="88"/>
      <c r="C495" s="88"/>
    </row>
  </sheetData>
  <conditionalFormatting sqref="K38:K1048576 K31:K36 K17:K29 K1:K5 K14:K15">
    <cfRule type="duplicateValues" dxfId="3" priority="5529"/>
  </conditionalFormatting>
  <conditionalFormatting sqref="J31:J36 K30 J38:J53 K37 J66:J1048576 J17:J29 J1:J5 J14:J15">
    <cfRule type="duplicateValues" dxfId="2" priority="5536"/>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3:CU14"/>
  <sheetViews>
    <sheetView workbookViewId="0">
      <selection activeCell="B14" sqref="B14"/>
    </sheetView>
  </sheetViews>
  <sheetFormatPr defaultRowHeight="15"/>
  <cols>
    <col min="2" max="2" width="8" customWidth="1"/>
    <col min="3" max="3" width="13.140625" bestFit="1" customWidth="1"/>
    <col min="4" max="4" width="7" bestFit="1" customWidth="1"/>
    <col min="5" max="5" width="2.5703125" bestFit="1" customWidth="1"/>
    <col min="6" max="6" width="24" bestFit="1" customWidth="1"/>
    <col min="7" max="7" width="9.5703125" bestFit="1" customWidth="1"/>
    <col min="8" max="9" width="7.7109375" customWidth="1"/>
    <col min="10" max="12" width="8.7109375" customWidth="1"/>
    <col min="14" max="14" width="6.7109375" customWidth="1"/>
  </cols>
  <sheetData>
    <row r="3" spans="1:99" ht="15.75" thickBot="1">
      <c r="B3" s="77" t="s">
        <v>746</v>
      </c>
      <c r="C3" s="77" t="s">
        <v>742</v>
      </c>
      <c r="D3" s="77">
        <v>451864</v>
      </c>
      <c r="E3" s="77" t="s">
        <v>747</v>
      </c>
      <c r="F3" s="77" t="s">
        <v>748</v>
      </c>
      <c r="G3" s="78">
        <v>43554</v>
      </c>
      <c r="H3" s="78">
        <v>43575</v>
      </c>
      <c r="I3" s="78">
        <v>43576</v>
      </c>
      <c r="J3" s="78">
        <v>43584</v>
      </c>
      <c r="K3" s="78">
        <v>43585</v>
      </c>
      <c r="L3" s="79">
        <v>43586</v>
      </c>
      <c r="M3" s="77" t="s">
        <v>749</v>
      </c>
      <c r="N3" s="77" t="s">
        <v>750</v>
      </c>
    </row>
    <row r="4" spans="1:99" ht="15.75" thickBot="1">
      <c r="B4" s="77" t="s">
        <v>751</v>
      </c>
      <c r="C4" s="77" t="s">
        <v>743</v>
      </c>
      <c r="D4" s="77">
        <v>451865</v>
      </c>
      <c r="E4" s="77" t="s">
        <v>747</v>
      </c>
      <c r="F4" s="77" t="s">
        <v>748</v>
      </c>
      <c r="G4" s="78">
        <v>43554</v>
      </c>
      <c r="H4" s="78">
        <v>43575</v>
      </c>
      <c r="I4" s="78">
        <v>43576</v>
      </c>
      <c r="J4" s="78">
        <v>43584</v>
      </c>
      <c r="K4" s="78">
        <v>43585</v>
      </c>
      <c r="L4" s="79">
        <v>43586</v>
      </c>
      <c r="M4" s="77" t="s">
        <v>749</v>
      </c>
      <c r="N4" s="77" t="s">
        <v>750</v>
      </c>
    </row>
    <row r="10" spans="1:99" s="60" customFormat="1" ht="12.75">
      <c r="A10" s="71">
        <v>1671338</v>
      </c>
      <c r="B10" s="71" t="s">
        <v>744</v>
      </c>
      <c r="C10" s="71" t="s">
        <v>741</v>
      </c>
      <c r="D10" s="71" t="s">
        <v>735</v>
      </c>
      <c r="E10" s="71" t="s">
        <v>736</v>
      </c>
      <c r="F10" s="71" t="s">
        <v>737</v>
      </c>
      <c r="G10" s="71" t="s">
        <v>740</v>
      </c>
      <c r="H10" s="75">
        <v>43585</v>
      </c>
      <c r="I10" s="75">
        <v>43585</v>
      </c>
      <c r="J10" s="71" t="s">
        <v>739</v>
      </c>
      <c r="K10" s="71" t="s">
        <v>753</v>
      </c>
      <c r="L10" s="71" t="s">
        <v>754</v>
      </c>
      <c r="M10" s="72">
        <v>6.7361111111111108E-2</v>
      </c>
      <c r="N10" s="71" t="s">
        <v>403</v>
      </c>
      <c r="O10" s="71" t="s">
        <v>404</v>
      </c>
      <c r="P10" s="71" t="s">
        <v>409</v>
      </c>
      <c r="Q10" s="71" t="s">
        <v>403</v>
      </c>
      <c r="R10" s="71" t="s">
        <v>404</v>
      </c>
      <c r="S10" s="71" t="s">
        <v>409</v>
      </c>
      <c r="T10" s="71" t="s">
        <v>729</v>
      </c>
      <c r="U10" s="71" t="s">
        <v>159</v>
      </c>
      <c r="V10" s="71" t="s">
        <v>756</v>
      </c>
      <c r="W10" s="76" t="s">
        <v>723</v>
      </c>
      <c r="X10" s="71"/>
      <c r="Y10" s="71"/>
      <c r="Z10" s="76" t="s">
        <v>729</v>
      </c>
      <c r="AA10" s="71"/>
      <c r="AB10" s="71"/>
      <c r="AC10" s="76" t="s">
        <v>723</v>
      </c>
      <c r="AD10" s="71"/>
      <c r="AE10" s="71"/>
      <c r="AF10" s="76" t="s">
        <v>723</v>
      </c>
      <c r="AG10" s="71"/>
      <c r="AH10" s="71"/>
      <c r="AI10" s="76" t="s">
        <v>729</v>
      </c>
      <c r="AJ10" s="71"/>
      <c r="AK10" s="71"/>
      <c r="AL10" s="76" t="s">
        <v>723</v>
      </c>
      <c r="AM10" s="71"/>
      <c r="AN10" s="71"/>
      <c r="AO10" s="76" t="s">
        <v>723</v>
      </c>
      <c r="AP10" s="71"/>
      <c r="AQ10" s="71"/>
      <c r="AR10" s="76" t="s">
        <v>723</v>
      </c>
      <c r="AS10" s="71"/>
      <c r="AT10" s="71"/>
      <c r="AU10" s="76" t="s">
        <v>723</v>
      </c>
      <c r="AV10" s="71"/>
      <c r="AW10" s="71"/>
      <c r="AX10" s="76" t="s">
        <v>723</v>
      </c>
      <c r="AY10" s="71"/>
      <c r="AZ10" s="71"/>
      <c r="BA10" s="76" t="s">
        <v>723</v>
      </c>
      <c r="BB10" s="71"/>
      <c r="BC10" s="71"/>
      <c r="BD10" s="76" t="s">
        <v>724</v>
      </c>
      <c r="BE10" s="71"/>
      <c r="BF10" s="71"/>
      <c r="BG10" s="76" t="s">
        <v>723</v>
      </c>
      <c r="BH10" s="71"/>
      <c r="BI10" s="71"/>
      <c r="BJ10" s="76" t="s">
        <v>729</v>
      </c>
      <c r="BK10" s="71"/>
      <c r="BL10" s="71"/>
      <c r="BM10" s="76" t="s">
        <v>724</v>
      </c>
      <c r="BN10" s="71"/>
      <c r="BO10" s="71"/>
      <c r="BP10" s="76" t="s">
        <v>725</v>
      </c>
      <c r="BQ10" s="71" t="s">
        <v>11</v>
      </c>
      <c r="BR10" s="71" t="s">
        <v>755</v>
      </c>
      <c r="BS10" s="76" t="s">
        <v>724</v>
      </c>
      <c r="BT10" s="71"/>
      <c r="BU10" s="71"/>
      <c r="BV10" s="76" t="s">
        <v>728</v>
      </c>
      <c r="BW10" s="71"/>
      <c r="BX10" s="71"/>
      <c r="BY10" s="76">
        <v>0.69387755102040816</v>
      </c>
      <c r="BZ10" s="76">
        <v>1</v>
      </c>
      <c r="CA10" s="76">
        <v>0.82954545454545447</v>
      </c>
      <c r="CB10" s="76">
        <v>0.44444444444444442</v>
      </c>
      <c r="CC10" s="76">
        <v>1</v>
      </c>
      <c r="CD10" s="76">
        <v>1</v>
      </c>
      <c r="CE10" s="76">
        <v>1</v>
      </c>
      <c r="CF10" s="71" t="s">
        <v>728</v>
      </c>
      <c r="CG10" s="71" t="s">
        <v>728</v>
      </c>
      <c r="CH10" s="71" t="s">
        <v>728</v>
      </c>
      <c r="CI10" s="71" t="s">
        <v>724</v>
      </c>
      <c r="CJ10" s="71" t="s">
        <v>729</v>
      </c>
      <c r="CK10" s="71" t="s">
        <v>728</v>
      </c>
      <c r="CL10" s="71" t="s">
        <v>728</v>
      </c>
      <c r="CM10" s="71" t="s">
        <v>729</v>
      </c>
      <c r="CN10" s="71" t="s">
        <v>729</v>
      </c>
      <c r="CO10" s="71" t="s">
        <v>727</v>
      </c>
      <c r="CP10" s="70">
        <v>43596.637684837966</v>
      </c>
      <c r="CQ10" s="70"/>
      <c r="CR10" s="70"/>
      <c r="CS10" s="70"/>
      <c r="CT10" s="70"/>
      <c r="CU10" s="70"/>
    </row>
    <row r="11" spans="1:99" s="60" customFormat="1" ht="12.75">
      <c r="A11" s="71">
        <v>1671360</v>
      </c>
      <c r="B11" s="71" t="s">
        <v>745</v>
      </c>
      <c r="C11" s="71" t="s">
        <v>741</v>
      </c>
      <c r="D11" s="71" t="s">
        <v>735</v>
      </c>
      <c r="E11" s="71" t="s">
        <v>736</v>
      </c>
      <c r="F11" s="71" t="s">
        <v>737</v>
      </c>
      <c r="G11" s="71" t="s">
        <v>740</v>
      </c>
      <c r="H11" s="75">
        <v>43585</v>
      </c>
      <c r="I11" s="75">
        <v>43585</v>
      </c>
      <c r="J11" s="71" t="s">
        <v>759</v>
      </c>
      <c r="K11" s="71" t="s">
        <v>757</v>
      </c>
      <c r="L11" s="71" t="s">
        <v>758</v>
      </c>
      <c r="M11" s="72">
        <v>9.5833333333333326E-2</v>
      </c>
      <c r="N11" s="71" t="s">
        <v>452</v>
      </c>
      <c r="O11" s="71" t="s">
        <v>483</v>
      </c>
      <c r="P11" s="71" t="s">
        <v>485</v>
      </c>
      <c r="Q11" s="71" t="s">
        <v>452</v>
      </c>
      <c r="R11" s="71" t="s">
        <v>483</v>
      </c>
      <c r="S11" s="71" t="s">
        <v>485</v>
      </c>
      <c r="T11" s="71" t="s">
        <v>738</v>
      </c>
      <c r="U11" s="71" t="s">
        <v>159</v>
      </c>
      <c r="V11" s="71" t="s">
        <v>762</v>
      </c>
      <c r="W11" s="76" t="s">
        <v>726</v>
      </c>
      <c r="X11" s="71" t="s">
        <v>35</v>
      </c>
      <c r="Y11" s="71" t="s">
        <v>763</v>
      </c>
      <c r="Z11" s="76" t="s">
        <v>729</v>
      </c>
      <c r="AA11" s="71"/>
      <c r="AB11" s="71"/>
      <c r="AC11" s="76" t="s">
        <v>723</v>
      </c>
      <c r="AD11" s="71"/>
      <c r="AE11" s="71"/>
      <c r="AF11" s="76" t="s">
        <v>723</v>
      </c>
      <c r="AG11" s="71"/>
      <c r="AH11" s="71"/>
      <c r="AI11" s="76" t="s">
        <v>723</v>
      </c>
      <c r="AJ11" s="71"/>
      <c r="AK11" s="71"/>
      <c r="AL11" s="76" t="s">
        <v>725</v>
      </c>
      <c r="AM11" s="71" t="s">
        <v>43</v>
      </c>
      <c r="AN11" s="71" t="s">
        <v>760</v>
      </c>
      <c r="AO11" s="76" t="s">
        <v>723</v>
      </c>
      <c r="AP11" s="71"/>
      <c r="AQ11" s="71"/>
      <c r="AR11" s="76" t="s">
        <v>723</v>
      </c>
      <c r="AS11" s="71"/>
      <c r="AT11" s="71"/>
      <c r="AU11" s="76" t="s">
        <v>723</v>
      </c>
      <c r="AV11" s="71"/>
      <c r="AW11" s="71"/>
      <c r="AX11" s="76" t="s">
        <v>723</v>
      </c>
      <c r="AY11" s="71"/>
      <c r="AZ11" s="71"/>
      <c r="BA11" s="76" t="s">
        <v>723</v>
      </c>
      <c r="BB11" s="71"/>
      <c r="BC11" s="71"/>
      <c r="BD11" s="76" t="s">
        <v>724</v>
      </c>
      <c r="BE11" s="71"/>
      <c r="BF11" s="71"/>
      <c r="BG11" s="76" t="s">
        <v>723</v>
      </c>
      <c r="BH11" s="71"/>
      <c r="BI11" s="71"/>
      <c r="BJ11" s="76" t="s">
        <v>723</v>
      </c>
      <c r="BK11" s="71"/>
      <c r="BL11" s="71"/>
      <c r="BM11" s="76" t="s">
        <v>724</v>
      </c>
      <c r="BN11" s="71"/>
      <c r="BO11" s="71"/>
      <c r="BP11" s="76" t="s">
        <v>725</v>
      </c>
      <c r="BQ11" s="71" t="s">
        <v>11</v>
      </c>
      <c r="BR11" s="71" t="s">
        <v>761</v>
      </c>
      <c r="BS11" s="76" t="s">
        <v>724</v>
      </c>
      <c r="BT11" s="71"/>
      <c r="BU11" s="71"/>
      <c r="BV11" s="76" t="s">
        <v>728</v>
      </c>
      <c r="BW11" s="71"/>
      <c r="BX11" s="71"/>
      <c r="BY11" s="76">
        <v>0.57407407407407418</v>
      </c>
      <c r="BZ11" s="76">
        <v>1</v>
      </c>
      <c r="CA11" s="76">
        <v>0.74479166666666663</v>
      </c>
      <c r="CB11" s="76">
        <v>0.44444444444444442</v>
      </c>
      <c r="CC11" s="76">
        <v>1</v>
      </c>
      <c r="CD11" s="76">
        <v>0</v>
      </c>
      <c r="CE11" s="76">
        <v>1</v>
      </c>
      <c r="CF11" s="71" t="s">
        <v>728</v>
      </c>
      <c r="CG11" s="71" t="s">
        <v>728</v>
      </c>
      <c r="CH11" s="71" t="s">
        <v>724</v>
      </c>
      <c r="CI11" s="71" t="s">
        <v>728</v>
      </c>
      <c r="CJ11" s="71" t="s">
        <v>729</v>
      </c>
      <c r="CK11" s="71" t="s">
        <v>728</v>
      </c>
      <c r="CL11" s="71" t="s">
        <v>728</v>
      </c>
      <c r="CM11" s="71" t="s">
        <v>724</v>
      </c>
      <c r="CN11" s="71" t="s">
        <v>724</v>
      </c>
      <c r="CO11" s="71" t="s">
        <v>727</v>
      </c>
      <c r="CP11" s="70">
        <v>43596.674711458334</v>
      </c>
      <c r="CQ11" s="70"/>
      <c r="CR11" s="70"/>
      <c r="CS11" s="70"/>
      <c r="CT11" s="70"/>
      <c r="CU11" s="70"/>
    </row>
    <row r="14" spans="1:99" ht="15.75" thickBot="1">
      <c r="B14" s="82">
        <v>1697669</v>
      </c>
      <c r="C14" s="82" t="s">
        <v>765</v>
      </c>
      <c r="D14" s="82">
        <v>451984</v>
      </c>
      <c r="E14" s="82" t="s">
        <v>747</v>
      </c>
      <c r="F14" s="82" t="s">
        <v>766</v>
      </c>
      <c r="G14" s="83">
        <v>43599</v>
      </c>
      <c r="H14" s="83">
        <v>43620</v>
      </c>
      <c r="I14" s="83">
        <v>43621</v>
      </c>
      <c r="J14" s="83">
        <v>43629</v>
      </c>
      <c r="K14" s="84">
        <v>43635</v>
      </c>
      <c r="L14" s="84">
        <v>43636</v>
      </c>
      <c r="M14" s="85"/>
      <c r="N14" s="82" t="s">
        <v>750</v>
      </c>
    </row>
  </sheetData>
  <conditionalFormatting sqref="J10">
    <cfRule type="duplicateValues" dxfId="1" priority="2"/>
  </conditionalFormatting>
  <conditionalFormatting sqref="J11">
    <cfRule type="duplicateValues" dxfId="0"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89"/>
  <sheetViews>
    <sheetView showGridLines="0" topLeftCell="A5" workbookViewId="0">
      <selection activeCell="A9" sqref="A9"/>
    </sheetView>
  </sheetViews>
  <sheetFormatPr defaultRowHeight="15"/>
  <cols>
    <col min="1" max="1" width="67.85546875" style="26" bestFit="1" customWidth="1"/>
    <col min="2" max="2" width="59.42578125" style="20" customWidth="1"/>
    <col min="3" max="3" width="59.42578125" style="44" customWidth="1"/>
  </cols>
  <sheetData>
    <row r="1" spans="1:3">
      <c r="A1" s="37" t="s">
        <v>10</v>
      </c>
      <c r="B1" s="38" t="s">
        <v>123</v>
      </c>
      <c r="C1" s="42" t="s">
        <v>124</v>
      </c>
    </row>
    <row r="2" spans="1:3" s="36" customFormat="1" ht="72" customHeight="1">
      <c r="A2" s="9" t="s">
        <v>0</v>
      </c>
      <c r="B2" s="39" t="s">
        <v>305</v>
      </c>
      <c r="C2" s="43" t="s">
        <v>767</v>
      </c>
    </row>
    <row r="3" spans="1:3" s="36" customFormat="1" ht="25.5">
      <c r="A3" s="40" t="s">
        <v>1</v>
      </c>
      <c r="B3" s="27" t="s">
        <v>127</v>
      </c>
      <c r="C3" s="43"/>
    </row>
    <row r="4" spans="1:3" s="36" customFormat="1" ht="38.25">
      <c r="A4" s="9" t="s">
        <v>18</v>
      </c>
      <c r="B4" s="39" t="s">
        <v>156</v>
      </c>
      <c r="C4" s="43" t="s">
        <v>138</v>
      </c>
    </row>
    <row r="5" spans="1:3" s="36" customFormat="1" ht="38.25">
      <c r="A5" s="9" t="s">
        <v>2</v>
      </c>
      <c r="B5" s="39" t="s">
        <v>128</v>
      </c>
      <c r="C5" s="43" t="s">
        <v>41</v>
      </c>
    </row>
    <row r="6" spans="1:3" s="36" customFormat="1" ht="51">
      <c r="A6" s="9" t="s">
        <v>3</v>
      </c>
      <c r="B6" s="39" t="s">
        <v>129</v>
      </c>
      <c r="C6" s="43" t="s">
        <v>28</v>
      </c>
    </row>
    <row r="7" spans="1:3" s="36" customFormat="1" ht="51">
      <c r="A7" s="9" t="s">
        <v>48</v>
      </c>
      <c r="B7" s="39" t="s">
        <v>130</v>
      </c>
      <c r="C7" s="43" t="s">
        <v>125</v>
      </c>
    </row>
    <row r="8" spans="1:3" s="36" customFormat="1" ht="76.5">
      <c r="A8" s="9" t="s">
        <v>4</v>
      </c>
      <c r="B8" s="39" t="s">
        <v>131</v>
      </c>
      <c r="C8" s="43" t="s">
        <v>49</v>
      </c>
    </row>
    <row r="9" spans="1:3" s="36" customFormat="1" ht="38.25">
      <c r="A9" s="9" t="s">
        <v>5</v>
      </c>
      <c r="B9" s="39" t="s">
        <v>132</v>
      </c>
      <c r="C9" s="69" t="s">
        <v>6</v>
      </c>
    </row>
    <row r="10" spans="1:3" s="36" customFormat="1" ht="51">
      <c r="A10" s="9" t="s">
        <v>8</v>
      </c>
      <c r="B10" s="39" t="s">
        <v>133</v>
      </c>
      <c r="C10" s="43"/>
    </row>
    <row r="11" spans="1:3" s="36" customFormat="1" ht="51">
      <c r="A11" s="9" t="s">
        <v>19</v>
      </c>
      <c r="B11" s="39" t="s">
        <v>155</v>
      </c>
      <c r="C11" s="43" t="s">
        <v>29</v>
      </c>
    </row>
    <row r="12" spans="1:3" s="36" customFormat="1" ht="76.5">
      <c r="A12" s="41" t="s">
        <v>20</v>
      </c>
      <c r="B12" s="39" t="s">
        <v>275</v>
      </c>
      <c r="C12" s="43"/>
    </row>
    <row r="13" spans="1:3" s="36" customFormat="1" ht="140.25">
      <c r="A13" s="40" t="s">
        <v>21</v>
      </c>
      <c r="B13" s="27" t="s">
        <v>312</v>
      </c>
      <c r="C13" s="43"/>
    </row>
    <row r="14" spans="1:3" s="36" customFormat="1" ht="38.25">
      <c r="A14" s="9" t="s">
        <v>22</v>
      </c>
      <c r="B14" s="39" t="s">
        <v>134</v>
      </c>
      <c r="C14" s="43"/>
    </row>
    <row r="15" spans="1:3" s="36" customFormat="1" ht="102">
      <c r="A15" s="9" t="s">
        <v>23</v>
      </c>
      <c r="B15" s="39" t="s">
        <v>306</v>
      </c>
      <c r="C15" s="43" t="s">
        <v>141</v>
      </c>
    </row>
    <row r="16" spans="1:3" s="36" customFormat="1" ht="127.5">
      <c r="A16" s="40" t="s">
        <v>24</v>
      </c>
      <c r="B16" s="27" t="s">
        <v>135</v>
      </c>
      <c r="C16" s="43"/>
    </row>
    <row r="17" spans="1:3" s="36" customFormat="1" ht="114.75">
      <c r="A17" s="9" t="s">
        <v>25</v>
      </c>
      <c r="B17" s="39" t="s">
        <v>136</v>
      </c>
      <c r="C17" s="43" t="s">
        <v>137</v>
      </c>
    </row>
    <row r="18" spans="1:3" s="36" customFormat="1" ht="12.75">
      <c r="A18" s="35" t="s">
        <v>26</v>
      </c>
      <c r="B18" s="6" t="s">
        <v>27</v>
      </c>
      <c r="C18" s="43"/>
    </row>
    <row r="19" spans="1:3">
      <c r="A19"/>
    </row>
    <row r="20" spans="1:3">
      <c r="A20"/>
    </row>
    <row r="21" spans="1:3">
      <c r="A21"/>
    </row>
    <row r="22" spans="1:3">
      <c r="A22"/>
    </row>
    <row r="23" spans="1:3">
      <c r="A23"/>
    </row>
    <row r="24" spans="1:3">
      <c r="A24"/>
    </row>
    <row r="25" spans="1:3">
      <c r="A25"/>
    </row>
    <row r="26" spans="1:3">
      <c r="A26"/>
    </row>
    <row r="27" spans="1:3">
      <c r="A27"/>
    </row>
    <row r="28" spans="1:3">
      <c r="A28"/>
    </row>
    <row r="29" spans="1:3">
      <c r="A29"/>
    </row>
    <row r="30" spans="1:3">
      <c r="A30"/>
    </row>
    <row r="31" spans="1:3">
      <c r="A31"/>
    </row>
    <row r="32" spans="1:3">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sheetData>
  <sortState ref="A2:D89">
    <sortCondition ref="A2:A89"/>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E281"/>
  <sheetViews>
    <sheetView showGridLines="0" topLeftCell="A122" workbookViewId="0">
      <selection activeCell="C135" sqref="C135"/>
    </sheetView>
  </sheetViews>
  <sheetFormatPr defaultRowHeight="12.75"/>
  <cols>
    <col min="1" max="1" width="9.140625" style="2"/>
    <col min="2" max="2" width="31.140625" style="2" bestFit="1" customWidth="1"/>
    <col min="3" max="3" width="34.5703125" style="2" bestFit="1" customWidth="1"/>
    <col min="4" max="4" width="71.5703125" style="2" bestFit="1" customWidth="1"/>
    <col min="5" max="16384" width="9.140625" style="2"/>
  </cols>
  <sheetData>
    <row r="1" spans="2:4">
      <c r="B1" s="59" t="s">
        <v>317</v>
      </c>
      <c r="C1" s="59" t="s">
        <v>318</v>
      </c>
      <c r="D1" s="59" t="s">
        <v>319</v>
      </c>
    </row>
    <row r="2" spans="2:4">
      <c r="B2" s="58" t="s">
        <v>320</v>
      </c>
      <c r="C2" s="58" t="s">
        <v>321</v>
      </c>
      <c r="D2" s="58" t="s">
        <v>322</v>
      </c>
    </row>
    <row r="3" spans="2:4">
      <c r="B3" s="58" t="s">
        <v>323</v>
      </c>
      <c r="C3" s="58" t="s">
        <v>324</v>
      </c>
      <c r="D3" s="58" t="s">
        <v>325</v>
      </c>
    </row>
    <row r="4" spans="2:4">
      <c r="B4" s="58" t="s">
        <v>323</v>
      </c>
      <c r="C4" s="58" t="s">
        <v>326</v>
      </c>
      <c r="D4" s="58" t="s">
        <v>327</v>
      </c>
    </row>
    <row r="5" spans="2:4">
      <c r="B5" s="58" t="s">
        <v>323</v>
      </c>
      <c r="C5" s="58" t="s">
        <v>326</v>
      </c>
      <c r="D5" s="58" t="s">
        <v>328</v>
      </c>
    </row>
    <row r="6" spans="2:4">
      <c r="B6" s="58" t="s">
        <v>323</v>
      </c>
      <c r="C6" s="58" t="s">
        <v>326</v>
      </c>
      <c r="D6" s="58" t="s">
        <v>329</v>
      </c>
    </row>
    <row r="7" spans="2:4">
      <c r="B7" s="58" t="s">
        <v>323</v>
      </c>
      <c r="C7" s="58" t="s">
        <v>330</v>
      </c>
      <c r="D7" s="58" t="s">
        <v>331</v>
      </c>
    </row>
    <row r="8" spans="2:4">
      <c r="B8" s="58" t="s">
        <v>323</v>
      </c>
      <c r="C8" s="58" t="s">
        <v>332</v>
      </c>
      <c r="D8" s="58" t="s">
        <v>333</v>
      </c>
    </row>
    <row r="9" spans="2:4">
      <c r="B9" s="58" t="s">
        <v>323</v>
      </c>
      <c r="C9" s="58" t="s">
        <v>332</v>
      </c>
      <c r="D9" s="58" t="s">
        <v>334</v>
      </c>
    </row>
    <row r="10" spans="2:4">
      <c r="B10" s="58" t="s">
        <v>323</v>
      </c>
      <c r="C10" s="58" t="s">
        <v>335</v>
      </c>
      <c r="D10" s="58" t="s">
        <v>336</v>
      </c>
    </row>
    <row r="11" spans="2:4">
      <c r="B11" s="58" t="s">
        <v>323</v>
      </c>
      <c r="C11" s="58" t="s">
        <v>337</v>
      </c>
      <c r="D11" s="58" t="s">
        <v>338</v>
      </c>
    </row>
    <row r="12" spans="2:4">
      <c r="B12" s="58" t="s">
        <v>323</v>
      </c>
      <c r="C12" s="58" t="s">
        <v>337</v>
      </c>
      <c r="D12" s="58" t="s">
        <v>339</v>
      </c>
    </row>
    <row r="13" spans="2:4">
      <c r="B13" s="58" t="s">
        <v>323</v>
      </c>
      <c r="C13" s="58" t="s">
        <v>337</v>
      </c>
      <c r="D13" s="58" t="s">
        <v>340</v>
      </c>
    </row>
    <row r="14" spans="2:4">
      <c r="B14" s="58" t="s">
        <v>323</v>
      </c>
      <c r="C14" s="58" t="s">
        <v>341</v>
      </c>
      <c r="D14" s="58" t="s">
        <v>342</v>
      </c>
    </row>
    <row r="15" spans="2:4">
      <c r="B15" s="58" t="s">
        <v>323</v>
      </c>
      <c r="C15" s="58" t="s">
        <v>343</v>
      </c>
      <c r="D15" s="58" t="s">
        <v>344</v>
      </c>
    </row>
    <row r="16" spans="2:4">
      <c r="B16" s="58" t="s">
        <v>323</v>
      </c>
      <c r="C16" s="58" t="s">
        <v>345</v>
      </c>
      <c r="D16" s="58" t="s">
        <v>346</v>
      </c>
    </row>
    <row r="17" spans="2:4">
      <c r="B17" s="58" t="s">
        <v>323</v>
      </c>
      <c r="C17" s="58" t="s">
        <v>347</v>
      </c>
      <c r="D17" s="58" t="s">
        <v>348</v>
      </c>
    </row>
    <row r="18" spans="2:4">
      <c r="B18" s="58" t="s">
        <v>349</v>
      </c>
      <c r="C18" s="58" t="s">
        <v>350</v>
      </c>
      <c r="D18" s="58" t="s">
        <v>351</v>
      </c>
    </row>
    <row r="19" spans="2:4">
      <c r="B19" s="58" t="s">
        <v>349</v>
      </c>
      <c r="C19" s="58" t="s">
        <v>352</v>
      </c>
      <c r="D19" s="58" t="s">
        <v>353</v>
      </c>
    </row>
    <row r="20" spans="2:4">
      <c r="B20" s="58" t="s">
        <v>349</v>
      </c>
      <c r="C20" s="58" t="s">
        <v>354</v>
      </c>
      <c r="D20" s="58" t="s">
        <v>355</v>
      </c>
    </row>
    <row r="21" spans="2:4">
      <c r="B21" s="58" t="s">
        <v>349</v>
      </c>
      <c r="C21" s="58" t="s">
        <v>356</v>
      </c>
      <c r="D21" s="58" t="s">
        <v>357</v>
      </c>
    </row>
    <row r="22" spans="2:4">
      <c r="B22" s="58" t="s">
        <v>349</v>
      </c>
      <c r="C22" s="58" t="s">
        <v>356</v>
      </c>
      <c r="D22" s="58" t="s">
        <v>358</v>
      </c>
    </row>
    <row r="23" spans="2:4">
      <c r="B23" s="58" t="s">
        <v>349</v>
      </c>
      <c r="C23" s="58" t="s">
        <v>359</v>
      </c>
      <c r="D23" s="58" t="s">
        <v>360</v>
      </c>
    </row>
    <row r="24" spans="2:4">
      <c r="B24" s="58" t="s">
        <v>349</v>
      </c>
      <c r="C24" s="58" t="s">
        <v>361</v>
      </c>
      <c r="D24" s="58" t="s">
        <v>362</v>
      </c>
    </row>
    <row r="25" spans="2:4">
      <c r="B25" s="58" t="s">
        <v>349</v>
      </c>
      <c r="C25" s="58" t="s">
        <v>363</v>
      </c>
      <c r="D25" s="58" t="s">
        <v>364</v>
      </c>
    </row>
    <row r="26" spans="2:4">
      <c r="B26" s="58" t="s">
        <v>365</v>
      </c>
      <c r="C26" s="58" t="s">
        <v>366</v>
      </c>
      <c r="D26" s="58" t="s">
        <v>367</v>
      </c>
    </row>
    <row r="27" spans="2:4">
      <c r="B27" s="58" t="s">
        <v>365</v>
      </c>
      <c r="C27" s="58" t="s">
        <v>366</v>
      </c>
      <c r="D27" s="58" t="s">
        <v>368</v>
      </c>
    </row>
    <row r="28" spans="2:4">
      <c r="B28" s="58" t="s">
        <v>365</v>
      </c>
      <c r="C28" s="58" t="s">
        <v>369</v>
      </c>
      <c r="D28" s="58" t="s">
        <v>367</v>
      </c>
    </row>
    <row r="29" spans="2:4">
      <c r="B29" s="58" t="s">
        <v>365</v>
      </c>
      <c r="C29" s="58" t="s">
        <v>369</v>
      </c>
      <c r="D29" s="58" t="s">
        <v>368</v>
      </c>
    </row>
    <row r="30" spans="2:4">
      <c r="B30" s="58" t="s">
        <v>370</v>
      </c>
      <c r="C30" s="58" t="s">
        <v>371</v>
      </c>
      <c r="D30" s="58" t="s">
        <v>372</v>
      </c>
    </row>
    <row r="31" spans="2:4">
      <c r="B31" s="58" t="s">
        <v>370</v>
      </c>
      <c r="C31" s="58" t="s">
        <v>371</v>
      </c>
      <c r="D31" s="58" t="s">
        <v>373</v>
      </c>
    </row>
    <row r="32" spans="2:4">
      <c r="B32" s="58" t="s">
        <v>370</v>
      </c>
      <c r="C32" s="58" t="s">
        <v>371</v>
      </c>
      <c r="D32" s="58" t="s">
        <v>374</v>
      </c>
    </row>
    <row r="33" spans="2:4">
      <c r="B33" s="58" t="s">
        <v>370</v>
      </c>
      <c r="C33" s="58" t="s">
        <v>375</v>
      </c>
      <c r="D33" s="58" t="s">
        <v>376</v>
      </c>
    </row>
    <row r="34" spans="2:4">
      <c r="B34" s="58" t="s">
        <v>370</v>
      </c>
      <c r="C34" s="58" t="s">
        <v>375</v>
      </c>
      <c r="D34" s="58" t="s">
        <v>377</v>
      </c>
    </row>
    <row r="35" spans="2:4">
      <c r="B35" s="58" t="s">
        <v>370</v>
      </c>
      <c r="C35" s="58" t="s">
        <v>375</v>
      </c>
      <c r="D35" s="58" t="s">
        <v>378</v>
      </c>
    </row>
    <row r="36" spans="2:4">
      <c r="B36" s="58" t="s">
        <v>370</v>
      </c>
      <c r="C36" s="58" t="s">
        <v>375</v>
      </c>
      <c r="D36" s="58" t="s">
        <v>379</v>
      </c>
    </row>
    <row r="37" spans="2:4">
      <c r="B37" s="58" t="s">
        <v>370</v>
      </c>
      <c r="C37" s="58" t="s">
        <v>375</v>
      </c>
      <c r="D37" s="58" t="s">
        <v>380</v>
      </c>
    </row>
    <row r="38" spans="2:4">
      <c r="B38" s="58" t="s">
        <v>370</v>
      </c>
      <c r="C38" s="58" t="s">
        <v>375</v>
      </c>
      <c r="D38" s="58" t="s">
        <v>381</v>
      </c>
    </row>
    <row r="39" spans="2:4">
      <c r="B39" s="58" t="s">
        <v>370</v>
      </c>
      <c r="C39" s="58" t="s">
        <v>324</v>
      </c>
      <c r="D39" s="58" t="s">
        <v>382</v>
      </c>
    </row>
    <row r="40" spans="2:4">
      <c r="B40" s="58" t="s">
        <v>370</v>
      </c>
      <c r="C40" s="58" t="s">
        <v>383</v>
      </c>
      <c r="D40" s="58" t="s">
        <v>384</v>
      </c>
    </row>
    <row r="41" spans="2:4">
      <c r="B41" s="58" t="s">
        <v>370</v>
      </c>
      <c r="C41" s="58" t="s">
        <v>385</v>
      </c>
      <c r="D41" s="58" t="s">
        <v>386</v>
      </c>
    </row>
    <row r="42" spans="2:4">
      <c r="B42" s="58" t="s">
        <v>370</v>
      </c>
      <c r="C42" s="58" t="s">
        <v>385</v>
      </c>
      <c r="D42" s="58" t="s">
        <v>325</v>
      </c>
    </row>
    <row r="43" spans="2:4">
      <c r="B43" s="58" t="s">
        <v>370</v>
      </c>
      <c r="C43" s="58" t="s">
        <v>385</v>
      </c>
      <c r="D43" s="58" t="s">
        <v>387</v>
      </c>
    </row>
    <row r="44" spans="2:4">
      <c r="B44" s="58" t="s">
        <v>388</v>
      </c>
      <c r="C44" s="58" t="s">
        <v>330</v>
      </c>
      <c r="D44" s="58" t="s">
        <v>389</v>
      </c>
    </row>
    <row r="45" spans="2:4">
      <c r="B45" s="58" t="s">
        <v>388</v>
      </c>
      <c r="C45" s="58" t="s">
        <v>332</v>
      </c>
      <c r="D45" s="58" t="s">
        <v>390</v>
      </c>
    </row>
    <row r="46" spans="2:4">
      <c r="B46" s="58" t="s">
        <v>388</v>
      </c>
      <c r="C46" s="58" t="s">
        <v>332</v>
      </c>
      <c r="D46" s="58" t="s">
        <v>391</v>
      </c>
    </row>
    <row r="47" spans="2:4">
      <c r="B47" s="58" t="s">
        <v>388</v>
      </c>
      <c r="C47" s="58" t="s">
        <v>343</v>
      </c>
      <c r="D47" s="58" t="s">
        <v>392</v>
      </c>
    </row>
    <row r="48" spans="2:4">
      <c r="B48" s="58" t="s">
        <v>388</v>
      </c>
      <c r="C48" s="58" t="s">
        <v>345</v>
      </c>
      <c r="D48" s="58" t="s">
        <v>393</v>
      </c>
    </row>
    <row r="49" spans="2:4">
      <c r="B49" s="58" t="s">
        <v>388</v>
      </c>
      <c r="C49" s="58" t="s">
        <v>347</v>
      </c>
      <c r="D49" s="58" t="s">
        <v>394</v>
      </c>
    </row>
    <row r="50" spans="2:4">
      <c r="B50" s="58" t="s">
        <v>388</v>
      </c>
      <c r="C50" s="58" t="s">
        <v>347</v>
      </c>
      <c r="D50" s="58" t="s">
        <v>395</v>
      </c>
    </row>
    <row r="51" spans="2:4">
      <c r="B51" s="58" t="s">
        <v>396</v>
      </c>
      <c r="C51" s="58" t="s">
        <v>397</v>
      </c>
      <c r="D51" s="58" t="s">
        <v>398</v>
      </c>
    </row>
    <row r="52" spans="2:4">
      <c r="B52" s="58" t="s">
        <v>399</v>
      </c>
      <c r="C52" s="58" t="s">
        <v>400</v>
      </c>
      <c r="D52" s="58" t="s">
        <v>401</v>
      </c>
    </row>
    <row r="53" spans="2:4">
      <c r="B53" s="58" t="s">
        <v>399</v>
      </c>
      <c r="C53" s="58" t="s">
        <v>400</v>
      </c>
      <c r="D53" s="58" t="s">
        <v>402</v>
      </c>
    </row>
    <row r="54" spans="2:4">
      <c r="B54" s="58" t="s">
        <v>403</v>
      </c>
      <c r="C54" s="58" t="s">
        <v>404</v>
      </c>
      <c r="D54" s="58" t="s">
        <v>405</v>
      </c>
    </row>
    <row r="55" spans="2:4">
      <c r="B55" s="58" t="s">
        <v>403</v>
      </c>
      <c r="C55" s="58" t="s">
        <v>404</v>
      </c>
      <c r="D55" s="58" t="s">
        <v>406</v>
      </c>
    </row>
    <row r="56" spans="2:4">
      <c r="B56" s="58" t="s">
        <v>403</v>
      </c>
      <c r="C56" s="58" t="s">
        <v>404</v>
      </c>
      <c r="D56" s="58" t="s">
        <v>407</v>
      </c>
    </row>
    <row r="57" spans="2:4">
      <c r="B57" s="58" t="s">
        <v>403</v>
      </c>
      <c r="C57" s="58" t="s">
        <v>404</v>
      </c>
      <c r="D57" s="58" t="s">
        <v>408</v>
      </c>
    </row>
    <row r="58" spans="2:4">
      <c r="B58" s="58" t="s">
        <v>403</v>
      </c>
      <c r="C58" s="58" t="s">
        <v>404</v>
      </c>
      <c r="D58" s="58" t="s">
        <v>409</v>
      </c>
    </row>
    <row r="59" spans="2:4">
      <c r="B59" s="58" t="s">
        <v>403</v>
      </c>
      <c r="C59" s="58" t="s">
        <v>404</v>
      </c>
      <c r="D59" s="58" t="s">
        <v>410</v>
      </c>
    </row>
    <row r="60" spans="2:4">
      <c r="B60" s="58" t="s">
        <v>403</v>
      </c>
      <c r="C60" s="58" t="s">
        <v>404</v>
      </c>
      <c r="D60" s="58" t="s">
        <v>411</v>
      </c>
    </row>
    <row r="61" spans="2:4">
      <c r="B61" s="58" t="s">
        <v>403</v>
      </c>
      <c r="C61" s="58" t="s">
        <v>412</v>
      </c>
      <c r="D61" s="58" t="s">
        <v>413</v>
      </c>
    </row>
    <row r="62" spans="2:4">
      <c r="B62" s="58" t="s">
        <v>403</v>
      </c>
      <c r="C62" s="58" t="s">
        <v>412</v>
      </c>
      <c r="D62" s="58" t="s">
        <v>414</v>
      </c>
    </row>
    <row r="63" spans="2:4">
      <c r="B63" s="58" t="s">
        <v>403</v>
      </c>
      <c r="C63" s="58" t="s">
        <v>412</v>
      </c>
      <c r="D63" s="58" t="s">
        <v>415</v>
      </c>
    </row>
    <row r="64" spans="2:4">
      <c r="B64" s="58" t="s">
        <v>403</v>
      </c>
      <c r="C64" s="58" t="s">
        <v>412</v>
      </c>
      <c r="D64" s="58" t="s">
        <v>416</v>
      </c>
    </row>
    <row r="65" spans="2:4">
      <c r="B65" s="58" t="s">
        <v>403</v>
      </c>
      <c r="C65" s="58" t="s">
        <v>417</v>
      </c>
      <c r="D65" s="58" t="s">
        <v>418</v>
      </c>
    </row>
    <row r="66" spans="2:4">
      <c r="B66" s="58" t="s">
        <v>403</v>
      </c>
      <c r="C66" s="58" t="s">
        <v>417</v>
      </c>
      <c r="D66" s="58" t="s">
        <v>419</v>
      </c>
    </row>
    <row r="67" spans="2:4">
      <c r="B67" s="58" t="s">
        <v>420</v>
      </c>
      <c r="C67" s="58" t="s">
        <v>421</v>
      </c>
      <c r="D67" s="58" t="s">
        <v>422</v>
      </c>
    </row>
    <row r="68" spans="2:4">
      <c r="B68" s="58" t="s">
        <v>420</v>
      </c>
      <c r="C68" s="58" t="s">
        <v>423</v>
      </c>
      <c r="D68" s="58" t="s">
        <v>424</v>
      </c>
    </row>
    <row r="69" spans="2:4">
      <c r="B69" s="58" t="s">
        <v>420</v>
      </c>
      <c r="C69" s="58" t="s">
        <v>423</v>
      </c>
      <c r="D69" s="58" t="s">
        <v>425</v>
      </c>
    </row>
    <row r="70" spans="2:4">
      <c r="B70" s="58" t="s">
        <v>420</v>
      </c>
      <c r="C70" s="58" t="s">
        <v>423</v>
      </c>
      <c r="D70" s="58" t="s">
        <v>426</v>
      </c>
    </row>
    <row r="71" spans="2:4">
      <c r="B71" s="58" t="s">
        <v>420</v>
      </c>
      <c r="C71" s="58" t="s">
        <v>423</v>
      </c>
      <c r="D71" s="58" t="s">
        <v>427</v>
      </c>
    </row>
    <row r="72" spans="2:4">
      <c r="B72" s="58" t="s">
        <v>428</v>
      </c>
      <c r="C72" s="58" t="s">
        <v>429</v>
      </c>
      <c r="D72" s="58" t="s">
        <v>430</v>
      </c>
    </row>
    <row r="73" spans="2:4">
      <c r="B73" s="58" t="s">
        <v>428</v>
      </c>
      <c r="C73" s="58" t="s">
        <v>431</v>
      </c>
      <c r="D73" s="58" t="s">
        <v>432</v>
      </c>
    </row>
    <row r="74" spans="2:4">
      <c r="B74" s="58" t="s">
        <v>433</v>
      </c>
      <c r="C74" s="58" t="s">
        <v>434</v>
      </c>
      <c r="D74" s="58" t="s">
        <v>435</v>
      </c>
    </row>
    <row r="75" spans="2:4">
      <c r="B75" s="58" t="s">
        <v>433</v>
      </c>
      <c r="C75" s="58" t="s">
        <v>436</v>
      </c>
      <c r="D75" s="58" t="s">
        <v>437</v>
      </c>
    </row>
    <row r="76" spans="2:4">
      <c r="B76" s="58" t="s">
        <v>433</v>
      </c>
      <c r="C76" s="58" t="s">
        <v>438</v>
      </c>
      <c r="D76" s="58" t="s">
        <v>439</v>
      </c>
    </row>
    <row r="77" spans="2:4">
      <c r="B77" s="58" t="s">
        <v>433</v>
      </c>
      <c r="C77" s="58" t="s">
        <v>440</v>
      </c>
      <c r="D77" s="58" t="s">
        <v>441</v>
      </c>
    </row>
    <row r="78" spans="2:4">
      <c r="B78" s="58" t="s">
        <v>433</v>
      </c>
      <c r="C78" s="58" t="s">
        <v>442</v>
      </c>
      <c r="D78" s="58" t="s">
        <v>443</v>
      </c>
    </row>
    <row r="79" spans="2:4">
      <c r="B79" s="58" t="s">
        <v>433</v>
      </c>
      <c r="C79" s="58" t="s">
        <v>442</v>
      </c>
      <c r="D79" s="58" t="s">
        <v>444</v>
      </c>
    </row>
    <row r="80" spans="2:4">
      <c r="B80" s="58" t="s">
        <v>433</v>
      </c>
      <c r="C80" s="58" t="s">
        <v>442</v>
      </c>
      <c r="D80" s="58" t="s">
        <v>445</v>
      </c>
    </row>
    <row r="81" spans="2:4">
      <c r="B81" s="58" t="s">
        <v>433</v>
      </c>
      <c r="C81" s="58" t="s">
        <v>442</v>
      </c>
      <c r="D81" s="58" t="s">
        <v>446</v>
      </c>
    </row>
    <row r="82" spans="2:4">
      <c r="B82" s="58" t="s">
        <v>433</v>
      </c>
      <c r="C82" s="58" t="s">
        <v>447</v>
      </c>
      <c r="D82" s="58" t="s">
        <v>448</v>
      </c>
    </row>
    <row r="83" spans="2:4">
      <c r="B83" s="58" t="s">
        <v>433</v>
      </c>
      <c r="C83" s="58" t="s">
        <v>449</v>
      </c>
      <c r="D83" s="58" t="s">
        <v>450</v>
      </c>
    </row>
    <row r="84" spans="2:4">
      <c r="B84" s="58" t="s">
        <v>433</v>
      </c>
      <c r="C84" s="58" t="s">
        <v>449</v>
      </c>
      <c r="D84" s="58" t="s">
        <v>451</v>
      </c>
    </row>
    <row r="85" spans="2:4">
      <c r="B85" s="58" t="s">
        <v>452</v>
      </c>
      <c r="C85" s="58" t="s">
        <v>453</v>
      </c>
      <c r="D85" s="58" t="s">
        <v>454</v>
      </c>
    </row>
    <row r="86" spans="2:4">
      <c r="B86" s="58" t="s">
        <v>452</v>
      </c>
      <c r="C86" s="58" t="s">
        <v>200</v>
      </c>
      <c r="D86" s="58" t="s">
        <v>455</v>
      </c>
    </row>
    <row r="87" spans="2:4">
      <c r="B87" s="58" t="s">
        <v>452</v>
      </c>
      <c r="C87" s="58" t="s">
        <v>200</v>
      </c>
      <c r="D87" s="58" t="s">
        <v>456</v>
      </c>
    </row>
    <row r="88" spans="2:4">
      <c r="B88" s="58" t="s">
        <v>452</v>
      </c>
      <c r="C88" s="58" t="s">
        <v>200</v>
      </c>
      <c r="D88" s="58" t="s">
        <v>353</v>
      </c>
    </row>
    <row r="89" spans="2:4">
      <c r="B89" s="58" t="s">
        <v>452</v>
      </c>
      <c r="C89" s="58" t="s">
        <v>200</v>
      </c>
      <c r="D89" s="58" t="s">
        <v>457</v>
      </c>
    </row>
    <row r="90" spans="2:4">
      <c r="B90" s="58" t="s">
        <v>452</v>
      </c>
      <c r="C90" s="58" t="s">
        <v>200</v>
      </c>
      <c r="D90" s="58" t="s">
        <v>458</v>
      </c>
    </row>
    <row r="91" spans="2:4">
      <c r="B91" s="58" t="s">
        <v>452</v>
      </c>
      <c r="C91" s="58" t="s">
        <v>200</v>
      </c>
      <c r="D91" s="58" t="s">
        <v>459</v>
      </c>
    </row>
    <row r="92" spans="2:4">
      <c r="B92" s="58" t="s">
        <v>452</v>
      </c>
      <c r="C92" s="58" t="s">
        <v>200</v>
      </c>
      <c r="D92" s="58" t="s">
        <v>460</v>
      </c>
    </row>
    <row r="93" spans="2:4">
      <c r="B93" s="58" t="s">
        <v>452</v>
      </c>
      <c r="C93" s="58" t="s">
        <v>200</v>
      </c>
      <c r="D93" s="58" t="s">
        <v>461</v>
      </c>
    </row>
    <row r="94" spans="2:4">
      <c r="B94" s="58" t="s">
        <v>452</v>
      </c>
      <c r="C94" s="58" t="s">
        <v>200</v>
      </c>
      <c r="D94" s="58" t="s">
        <v>462</v>
      </c>
    </row>
    <row r="95" spans="2:4">
      <c r="B95" s="58" t="s">
        <v>452</v>
      </c>
      <c r="C95" s="58" t="s">
        <v>463</v>
      </c>
      <c r="D95" s="58" t="s">
        <v>464</v>
      </c>
    </row>
    <row r="96" spans="2:4">
      <c r="B96" s="58" t="s">
        <v>452</v>
      </c>
      <c r="C96" s="58" t="s">
        <v>463</v>
      </c>
      <c r="D96" s="58" t="s">
        <v>465</v>
      </c>
    </row>
    <row r="97" spans="2:4">
      <c r="B97" s="58" t="s">
        <v>452</v>
      </c>
      <c r="C97" s="58" t="s">
        <v>466</v>
      </c>
      <c r="D97" s="58" t="s">
        <v>467</v>
      </c>
    </row>
    <row r="98" spans="2:4">
      <c r="B98" s="58" t="s">
        <v>452</v>
      </c>
      <c r="C98" s="58" t="s">
        <v>466</v>
      </c>
      <c r="D98" s="58" t="s">
        <v>468</v>
      </c>
    </row>
    <row r="99" spans="2:4">
      <c r="B99" s="58" t="s">
        <v>452</v>
      </c>
      <c r="C99" s="58" t="s">
        <v>466</v>
      </c>
      <c r="D99" s="58" t="s">
        <v>469</v>
      </c>
    </row>
    <row r="100" spans="2:4">
      <c r="B100" s="58" t="s">
        <v>452</v>
      </c>
      <c r="C100" s="58" t="s">
        <v>466</v>
      </c>
      <c r="D100" s="58" t="s">
        <v>470</v>
      </c>
    </row>
    <row r="101" spans="2:4">
      <c r="B101" s="58" t="s">
        <v>452</v>
      </c>
      <c r="C101" s="58" t="s">
        <v>466</v>
      </c>
      <c r="D101" s="58" t="s">
        <v>471</v>
      </c>
    </row>
    <row r="102" spans="2:4">
      <c r="B102" s="58" t="s">
        <v>452</v>
      </c>
      <c r="C102" s="58" t="s">
        <v>466</v>
      </c>
      <c r="D102" s="58" t="s">
        <v>472</v>
      </c>
    </row>
    <row r="103" spans="2:4">
      <c r="B103" s="58" t="s">
        <v>452</v>
      </c>
      <c r="C103" s="58" t="s">
        <v>473</v>
      </c>
      <c r="D103" s="58" t="s">
        <v>474</v>
      </c>
    </row>
    <row r="104" spans="2:4">
      <c r="B104" s="58" t="s">
        <v>452</v>
      </c>
      <c r="C104" s="58" t="s">
        <v>473</v>
      </c>
      <c r="D104" s="58" t="s">
        <v>475</v>
      </c>
    </row>
    <row r="105" spans="2:4">
      <c r="B105" s="58" t="s">
        <v>452</v>
      </c>
      <c r="C105" s="58" t="s">
        <v>473</v>
      </c>
      <c r="D105" s="58" t="s">
        <v>476</v>
      </c>
    </row>
    <row r="106" spans="2:4">
      <c r="B106" s="58" t="s">
        <v>452</v>
      </c>
      <c r="C106" s="58" t="s">
        <v>473</v>
      </c>
      <c r="D106" s="58" t="s">
        <v>477</v>
      </c>
    </row>
    <row r="107" spans="2:4">
      <c r="B107" s="58" t="s">
        <v>452</v>
      </c>
      <c r="C107" s="58" t="s">
        <v>473</v>
      </c>
      <c r="D107" s="58" t="s">
        <v>478</v>
      </c>
    </row>
    <row r="108" spans="2:4">
      <c r="B108" s="58" t="s">
        <v>452</v>
      </c>
      <c r="C108" s="58" t="s">
        <v>473</v>
      </c>
      <c r="D108" s="58" t="s">
        <v>479</v>
      </c>
    </row>
    <row r="109" spans="2:4">
      <c r="B109" s="58" t="s">
        <v>452</v>
      </c>
      <c r="C109" s="58" t="s">
        <v>473</v>
      </c>
      <c r="D109" s="58" t="s">
        <v>480</v>
      </c>
    </row>
    <row r="110" spans="2:4">
      <c r="B110" s="58" t="s">
        <v>452</v>
      </c>
      <c r="C110" s="58" t="s">
        <v>473</v>
      </c>
      <c r="D110" s="58" t="s">
        <v>481</v>
      </c>
    </row>
    <row r="111" spans="2:4">
      <c r="B111" s="58" t="s">
        <v>452</v>
      </c>
      <c r="C111" s="58" t="s">
        <v>473</v>
      </c>
      <c r="D111" s="58" t="s">
        <v>482</v>
      </c>
    </row>
    <row r="112" spans="2:4">
      <c r="B112" s="58" t="s">
        <v>452</v>
      </c>
      <c r="C112" s="58" t="s">
        <v>483</v>
      </c>
      <c r="D112" s="58" t="s">
        <v>484</v>
      </c>
    </row>
    <row r="113" spans="2:4">
      <c r="B113" s="58" t="s">
        <v>452</v>
      </c>
      <c r="C113" s="58" t="s">
        <v>483</v>
      </c>
      <c r="D113" s="58" t="s">
        <v>485</v>
      </c>
    </row>
    <row r="114" spans="2:4">
      <c r="B114" s="58" t="s">
        <v>452</v>
      </c>
      <c r="C114" s="58" t="s">
        <v>483</v>
      </c>
      <c r="D114" s="58" t="s">
        <v>486</v>
      </c>
    </row>
    <row r="115" spans="2:4">
      <c r="B115" s="58" t="s">
        <v>452</v>
      </c>
      <c r="C115" s="58" t="s">
        <v>483</v>
      </c>
      <c r="D115" s="58" t="s">
        <v>487</v>
      </c>
    </row>
    <row r="116" spans="2:4">
      <c r="B116" s="58" t="s">
        <v>452</v>
      </c>
      <c r="C116" s="58" t="s">
        <v>483</v>
      </c>
      <c r="D116" s="58" t="s">
        <v>488</v>
      </c>
    </row>
    <row r="117" spans="2:4">
      <c r="B117" s="58" t="s">
        <v>452</v>
      </c>
      <c r="C117" s="58" t="s">
        <v>489</v>
      </c>
      <c r="D117" s="58" t="s">
        <v>490</v>
      </c>
    </row>
    <row r="118" spans="2:4">
      <c r="B118" s="58" t="s">
        <v>452</v>
      </c>
      <c r="C118" s="58" t="s">
        <v>489</v>
      </c>
      <c r="D118" s="58" t="s">
        <v>491</v>
      </c>
    </row>
    <row r="119" spans="2:4">
      <c r="B119" s="58" t="s">
        <v>452</v>
      </c>
      <c r="C119" s="58" t="s">
        <v>489</v>
      </c>
      <c r="D119" s="58" t="s">
        <v>492</v>
      </c>
    </row>
    <row r="120" spans="2:4">
      <c r="B120" s="58" t="s">
        <v>452</v>
      </c>
      <c r="C120" s="58" t="s">
        <v>489</v>
      </c>
      <c r="D120" s="58" t="s">
        <v>493</v>
      </c>
    </row>
    <row r="121" spans="2:4">
      <c r="B121" s="58" t="s">
        <v>494</v>
      </c>
      <c r="C121" s="58" t="s">
        <v>495</v>
      </c>
      <c r="D121" s="58" t="s">
        <v>496</v>
      </c>
    </row>
    <row r="122" spans="2:4">
      <c r="B122" s="58" t="s">
        <v>494</v>
      </c>
      <c r="C122" s="58" t="s">
        <v>495</v>
      </c>
      <c r="D122" s="58" t="s">
        <v>497</v>
      </c>
    </row>
    <row r="123" spans="2:4">
      <c r="B123" s="58" t="s">
        <v>494</v>
      </c>
      <c r="C123" s="58" t="s">
        <v>495</v>
      </c>
      <c r="D123" s="58" t="s">
        <v>498</v>
      </c>
    </row>
    <row r="124" spans="2:4">
      <c r="B124" s="58" t="s">
        <v>494</v>
      </c>
      <c r="C124" s="58" t="s">
        <v>495</v>
      </c>
      <c r="D124" s="58" t="s">
        <v>499</v>
      </c>
    </row>
    <row r="125" spans="2:4">
      <c r="B125" s="58" t="s">
        <v>494</v>
      </c>
      <c r="C125" s="58" t="s">
        <v>495</v>
      </c>
      <c r="D125" s="58" t="s">
        <v>500</v>
      </c>
    </row>
    <row r="126" spans="2:4">
      <c r="B126" s="58" t="s">
        <v>494</v>
      </c>
      <c r="C126" s="58" t="s">
        <v>495</v>
      </c>
      <c r="D126" s="58" t="s">
        <v>501</v>
      </c>
    </row>
    <row r="127" spans="2:4">
      <c r="B127" s="58" t="s">
        <v>494</v>
      </c>
      <c r="C127" s="58" t="s">
        <v>495</v>
      </c>
      <c r="D127" s="58" t="s">
        <v>502</v>
      </c>
    </row>
    <row r="128" spans="2:4">
      <c r="B128" s="58" t="s">
        <v>494</v>
      </c>
      <c r="C128" s="58" t="s">
        <v>495</v>
      </c>
      <c r="D128" s="58" t="s">
        <v>503</v>
      </c>
    </row>
    <row r="129" spans="2:5">
      <c r="B129" s="58" t="s">
        <v>494</v>
      </c>
      <c r="C129" s="58" t="s">
        <v>495</v>
      </c>
      <c r="D129" s="58" t="s">
        <v>504</v>
      </c>
    </row>
    <row r="130" spans="2:5">
      <c r="B130" s="58" t="s">
        <v>494</v>
      </c>
      <c r="C130" s="58" t="s">
        <v>505</v>
      </c>
      <c r="D130" s="58" t="s">
        <v>506</v>
      </c>
    </row>
    <row r="131" spans="2:5">
      <c r="B131" s="58" t="s">
        <v>494</v>
      </c>
      <c r="C131" s="58" t="s">
        <v>505</v>
      </c>
      <c r="D131" s="58" t="s">
        <v>507</v>
      </c>
    </row>
    <row r="132" spans="2:5">
      <c r="B132" s="58" t="s">
        <v>494</v>
      </c>
      <c r="C132" s="58" t="s">
        <v>505</v>
      </c>
      <c r="D132" s="58" t="s">
        <v>508</v>
      </c>
    </row>
    <row r="133" spans="2:5">
      <c r="B133" s="58" t="s">
        <v>494</v>
      </c>
      <c r="C133" s="58" t="s">
        <v>505</v>
      </c>
      <c r="D133" s="58" t="s">
        <v>509</v>
      </c>
    </row>
    <row r="134" spans="2:5">
      <c r="B134" s="58" t="s">
        <v>494</v>
      </c>
      <c r="C134" s="58" t="s">
        <v>505</v>
      </c>
      <c r="D134" s="58" t="s">
        <v>510</v>
      </c>
      <c r="E134" s="58" t="s">
        <v>524</v>
      </c>
    </row>
    <row r="135" spans="2:5">
      <c r="B135" s="58" t="s">
        <v>494</v>
      </c>
      <c r="C135" s="58" t="s">
        <v>511</v>
      </c>
      <c r="D135" s="58" t="s">
        <v>512</v>
      </c>
    </row>
    <row r="136" spans="2:5">
      <c r="B136" s="58" t="s">
        <v>494</v>
      </c>
      <c r="C136" s="58" t="s">
        <v>511</v>
      </c>
      <c r="D136" s="58" t="s">
        <v>513</v>
      </c>
    </row>
    <row r="137" spans="2:5">
      <c r="B137" s="58" t="s">
        <v>494</v>
      </c>
      <c r="C137" s="58" t="s">
        <v>511</v>
      </c>
      <c r="D137" s="58" t="s">
        <v>514</v>
      </c>
    </row>
    <row r="138" spans="2:5">
      <c r="B138" s="58" t="s">
        <v>494</v>
      </c>
      <c r="C138" s="58" t="s">
        <v>511</v>
      </c>
      <c r="D138" s="58" t="s">
        <v>515</v>
      </c>
    </row>
    <row r="139" spans="2:5">
      <c r="B139" s="58" t="s">
        <v>494</v>
      </c>
      <c r="C139" s="58" t="s">
        <v>511</v>
      </c>
      <c r="D139" s="58" t="s">
        <v>516</v>
      </c>
    </row>
    <row r="140" spans="2:5">
      <c r="B140" s="58" t="s">
        <v>494</v>
      </c>
      <c r="C140" s="58" t="s">
        <v>511</v>
      </c>
      <c r="D140" s="58" t="s">
        <v>517</v>
      </c>
    </row>
    <row r="141" spans="2:5">
      <c r="B141" s="58" t="s">
        <v>494</v>
      </c>
      <c r="C141" s="58" t="s">
        <v>511</v>
      </c>
      <c r="D141" s="58" t="s">
        <v>518</v>
      </c>
    </row>
    <row r="142" spans="2:5">
      <c r="B142" s="58" t="s">
        <v>494</v>
      </c>
      <c r="C142" s="58" t="s">
        <v>511</v>
      </c>
      <c r="D142" s="58" t="s">
        <v>519</v>
      </c>
    </row>
    <row r="143" spans="2:5">
      <c r="B143" s="58" t="s">
        <v>494</v>
      </c>
      <c r="C143" s="58" t="s">
        <v>511</v>
      </c>
      <c r="D143" s="58" t="s">
        <v>520</v>
      </c>
    </row>
    <row r="144" spans="2:5">
      <c r="B144" s="58" t="s">
        <v>494</v>
      </c>
      <c r="C144" s="58" t="s">
        <v>511</v>
      </c>
      <c r="D144" s="58" t="s">
        <v>521</v>
      </c>
    </row>
    <row r="145" spans="2:4">
      <c r="B145" s="58" t="s">
        <v>494</v>
      </c>
      <c r="C145" s="58" t="s">
        <v>511</v>
      </c>
      <c r="D145" s="58" t="s">
        <v>522</v>
      </c>
    </row>
    <row r="146" spans="2:4">
      <c r="B146" s="58" t="s">
        <v>494</v>
      </c>
      <c r="C146" s="58" t="s">
        <v>511</v>
      </c>
      <c r="D146" s="58" t="s">
        <v>523</v>
      </c>
    </row>
    <row r="147" spans="2:4">
      <c r="B147" s="58" t="s">
        <v>494</v>
      </c>
      <c r="C147" s="58" t="s">
        <v>511</v>
      </c>
      <c r="D147" s="58" t="s">
        <v>524</v>
      </c>
    </row>
    <row r="148" spans="2:4">
      <c r="B148" s="58" t="s">
        <v>494</v>
      </c>
      <c r="C148" s="58" t="s">
        <v>511</v>
      </c>
      <c r="D148" s="58" t="s">
        <v>525</v>
      </c>
    </row>
    <row r="149" spans="2:4">
      <c r="B149" s="58" t="s">
        <v>494</v>
      </c>
      <c r="C149" s="58" t="s">
        <v>511</v>
      </c>
      <c r="D149" s="58" t="s">
        <v>526</v>
      </c>
    </row>
    <row r="150" spans="2:4">
      <c r="B150" s="58" t="s">
        <v>494</v>
      </c>
      <c r="C150" s="58" t="s">
        <v>511</v>
      </c>
      <c r="D150" s="58" t="s">
        <v>527</v>
      </c>
    </row>
    <row r="151" spans="2:4">
      <c r="B151" s="58" t="s">
        <v>528</v>
      </c>
      <c r="C151" s="58" t="s">
        <v>529</v>
      </c>
      <c r="D151" s="58" t="s">
        <v>530</v>
      </c>
    </row>
    <row r="152" spans="2:4">
      <c r="B152" s="58" t="s">
        <v>528</v>
      </c>
      <c r="C152" s="58" t="s">
        <v>529</v>
      </c>
      <c r="D152" s="58" t="s">
        <v>531</v>
      </c>
    </row>
    <row r="153" spans="2:4">
      <c r="B153" s="58" t="s">
        <v>528</v>
      </c>
      <c r="C153" s="58" t="s">
        <v>532</v>
      </c>
      <c r="D153" s="58" t="s">
        <v>533</v>
      </c>
    </row>
    <row r="154" spans="2:4">
      <c r="B154" s="58" t="s">
        <v>528</v>
      </c>
      <c r="C154" s="58" t="s">
        <v>532</v>
      </c>
      <c r="D154" s="58" t="s">
        <v>534</v>
      </c>
    </row>
    <row r="155" spans="2:4">
      <c r="B155" s="58" t="s">
        <v>528</v>
      </c>
      <c r="C155" s="58" t="s">
        <v>532</v>
      </c>
      <c r="D155" s="58" t="s">
        <v>535</v>
      </c>
    </row>
    <row r="156" spans="2:4">
      <c r="B156" s="58" t="s">
        <v>528</v>
      </c>
      <c r="C156" s="58" t="s">
        <v>532</v>
      </c>
      <c r="D156" s="58" t="s">
        <v>536</v>
      </c>
    </row>
    <row r="157" spans="2:4">
      <c r="B157" s="58" t="s">
        <v>528</v>
      </c>
      <c r="C157" s="58" t="s">
        <v>532</v>
      </c>
      <c r="D157" s="58" t="s">
        <v>537</v>
      </c>
    </row>
    <row r="158" spans="2:4">
      <c r="B158" s="58" t="s">
        <v>528</v>
      </c>
      <c r="C158" s="58" t="s">
        <v>532</v>
      </c>
      <c r="D158" s="58" t="s">
        <v>538</v>
      </c>
    </row>
    <row r="159" spans="2:4">
      <c r="B159" s="58" t="s">
        <v>528</v>
      </c>
      <c r="C159" s="58" t="s">
        <v>532</v>
      </c>
      <c r="D159" s="58" t="s">
        <v>539</v>
      </c>
    </row>
    <row r="160" spans="2:4">
      <c r="B160" s="58" t="s">
        <v>528</v>
      </c>
      <c r="C160" s="58" t="s">
        <v>532</v>
      </c>
      <c r="D160" s="58" t="s">
        <v>540</v>
      </c>
    </row>
    <row r="161" spans="2:4">
      <c r="B161" s="58" t="s">
        <v>541</v>
      </c>
      <c r="C161" s="58" t="s">
        <v>542</v>
      </c>
      <c r="D161" s="58" t="s">
        <v>543</v>
      </c>
    </row>
    <row r="162" spans="2:4">
      <c r="B162" s="58" t="s">
        <v>541</v>
      </c>
      <c r="C162" s="58" t="s">
        <v>542</v>
      </c>
      <c r="D162" s="58" t="s">
        <v>544</v>
      </c>
    </row>
    <row r="163" spans="2:4">
      <c r="B163" s="58" t="s">
        <v>541</v>
      </c>
      <c r="C163" s="58" t="s">
        <v>542</v>
      </c>
      <c r="D163" s="58" t="s">
        <v>545</v>
      </c>
    </row>
    <row r="164" spans="2:4">
      <c r="B164" s="58" t="s">
        <v>541</v>
      </c>
      <c r="C164" s="58" t="s">
        <v>542</v>
      </c>
      <c r="D164" s="58" t="s">
        <v>546</v>
      </c>
    </row>
    <row r="165" spans="2:4">
      <c r="B165" s="58" t="s">
        <v>541</v>
      </c>
      <c r="C165" s="58" t="s">
        <v>542</v>
      </c>
      <c r="D165" s="58" t="s">
        <v>547</v>
      </c>
    </row>
    <row r="166" spans="2:4">
      <c r="B166" s="58" t="s">
        <v>541</v>
      </c>
      <c r="C166" s="58" t="s">
        <v>542</v>
      </c>
      <c r="D166" s="58" t="s">
        <v>548</v>
      </c>
    </row>
    <row r="167" spans="2:4">
      <c r="B167" s="58" t="s">
        <v>541</v>
      </c>
      <c r="C167" s="58" t="s">
        <v>549</v>
      </c>
      <c r="D167" s="58" t="s">
        <v>550</v>
      </c>
    </row>
    <row r="168" spans="2:4">
      <c r="B168" s="58" t="s">
        <v>541</v>
      </c>
      <c r="C168" s="58" t="s">
        <v>549</v>
      </c>
      <c r="D168" s="58" t="s">
        <v>551</v>
      </c>
    </row>
    <row r="169" spans="2:4">
      <c r="B169" s="58" t="s">
        <v>541</v>
      </c>
      <c r="C169" s="58" t="s">
        <v>549</v>
      </c>
      <c r="D169" s="58" t="s">
        <v>552</v>
      </c>
    </row>
    <row r="170" spans="2:4">
      <c r="B170" s="58" t="s">
        <v>541</v>
      </c>
      <c r="C170" s="58" t="s">
        <v>553</v>
      </c>
      <c r="D170" s="58" t="s">
        <v>554</v>
      </c>
    </row>
    <row r="171" spans="2:4">
      <c r="B171" s="58" t="s">
        <v>555</v>
      </c>
      <c r="C171" s="58" t="s">
        <v>556</v>
      </c>
      <c r="D171" s="58" t="s">
        <v>557</v>
      </c>
    </row>
    <row r="172" spans="2:4">
      <c r="B172" s="58" t="s">
        <v>558</v>
      </c>
      <c r="C172" s="58" t="s">
        <v>559</v>
      </c>
      <c r="D172" s="58" t="s">
        <v>560</v>
      </c>
    </row>
    <row r="173" spans="2:4">
      <c r="B173" s="58" t="s">
        <v>558</v>
      </c>
      <c r="C173" s="58" t="s">
        <v>559</v>
      </c>
      <c r="D173" s="58" t="s">
        <v>561</v>
      </c>
    </row>
    <row r="174" spans="2:4">
      <c r="B174" s="58" t="s">
        <v>558</v>
      </c>
      <c r="C174" s="58" t="s">
        <v>559</v>
      </c>
      <c r="D174" s="58" t="s">
        <v>562</v>
      </c>
    </row>
    <row r="175" spans="2:4">
      <c r="B175" s="58" t="s">
        <v>558</v>
      </c>
      <c r="C175" s="58" t="s">
        <v>559</v>
      </c>
      <c r="D175" s="58" t="s">
        <v>563</v>
      </c>
    </row>
    <row r="176" spans="2:4">
      <c r="B176" s="58" t="s">
        <v>558</v>
      </c>
      <c r="C176" s="58" t="s">
        <v>564</v>
      </c>
      <c r="D176" s="58" t="s">
        <v>565</v>
      </c>
    </row>
    <row r="177" spans="2:4">
      <c r="B177" s="58" t="s">
        <v>558</v>
      </c>
      <c r="C177" s="58" t="s">
        <v>564</v>
      </c>
      <c r="D177" s="58" t="s">
        <v>566</v>
      </c>
    </row>
    <row r="178" spans="2:4">
      <c r="B178" s="58" t="s">
        <v>558</v>
      </c>
      <c r="C178" s="58" t="s">
        <v>567</v>
      </c>
      <c r="D178" s="58" t="s">
        <v>568</v>
      </c>
    </row>
    <row r="179" spans="2:4">
      <c r="B179" s="58" t="s">
        <v>558</v>
      </c>
      <c r="C179" s="58" t="s">
        <v>569</v>
      </c>
      <c r="D179" s="58" t="s">
        <v>570</v>
      </c>
    </row>
    <row r="180" spans="2:4">
      <c r="B180" s="58" t="s">
        <v>558</v>
      </c>
      <c r="C180" s="58" t="s">
        <v>569</v>
      </c>
      <c r="D180" s="58" t="s">
        <v>571</v>
      </c>
    </row>
    <row r="181" spans="2:4">
      <c r="B181" s="58" t="s">
        <v>558</v>
      </c>
      <c r="C181" s="58" t="s">
        <v>569</v>
      </c>
      <c r="D181" s="58" t="s">
        <v>572</v>
      </c>
    </row>
    <row r="182" spans="2:4">
      <c r="B182" s="58" t="s">
        <v>558</v>
      </c>
      <c r="C182" s="58" t="s">
        <v>569</v>
      </c>
      <c r="D182" s="58" t="s">
        <v>573</v>
      </c>
    </row>
    <row r="183" spans="2:4">
      <c r="B183" s="58" t="s">
        <v>558</v>
      </c>
      <c r="C183" s="58" t="s">
        <v>574</v>
      </c>
      <c r="D183" s="58" t="s">
        <v>575</v>
      </c>
    </row>
    <row r="184" spans="2:4">
      <c r="B184" s="58" t="s">
        <v>558</v>
      </c>
      <c r="C184" s="58" t="s">
        <v>576</v>
      </c>
      <c r="D184" s="58" t="s">
        <v>577</v>
      </c>
    </row>
    <row r="185" spans="2:4">
      <c r="B185" s="58" t="s">
        <v>558</v>
      </c>
      <c r="C185" s="58" t="s">
        <v>576</v>
      </c>
      <c r="D185" s="58" t="s">
        <v>578</v>
      </c>
    </row>
    <row r="186" spans="2:4">
      <c r="B186" s="58" t="s">
        <v>579</v>
      </c>
      <c r="C186" s="58" t="s">
        <v>580</v>
      </c>
      <c r="D186" s="58" t="s">
        <v>581</v>
      </c>
    </row>
    <row r="187" spans="2:4">
      <c r="B187" s="58" t="s">
        <v>579</v>
      </c>
      <c r="C187" s="58" t="s">
        <v>582</v>
      </c>
      <c r="D187" s="58" t="s">
        <v>583</v>
      </c>
    </row>
    <row r="188" spans="2:4">
      <c r="B188" s="58" t="s">
        <v>442</v>
      </c>
      <c r="C188" s="58" t="s">
        <v>584</v>
      </c>
      <c r="D188" s="58" t="s">
        <v>585</v>
      </c>
    </row>
    <row r="189" spans="2:4">
      <c r="B189" s="58" t="s">
        <v>442</v>
      </c>
      <c r="C189" s="58" t="s">
        <v>584</v>
      </c>
      <c r="D189" s="58" t="s">
        <v>586</v>
      </c>
    </row>
    <row r="190" spans="2:4">
      <c r="B190" s="58" t="s">
        <v>442</v>
      </c>
      <c r="C190" s="58" t="s">
        <v>587</v>
      </c>
      <c r="D190" s="58" t="s">
        <v>588</v>
      </c>
    </row>
    <row r="191" spans="2:4">
      <c r="B191" s="58" t="s">
        <v>442</v>
      </c>
      <c r="C191" s="58" t="s">
        <v>587</v>
      </c>
      <c r="D191" s="58" t="s">
        <v>589</v>
      </c>
    </row>
    <row r="192" spans="2:4">
      <c r="B192" s="58" t="s">
        <v>442</v>
      </c>
      <c r="C192" s="58" t="s">
        <v>587</v>
      </c>
      <c r="D192" s="58" t="s">
        <v>590</v>
      </c>
    </row>
    <row r="193" spans="2:4">
      <c r="B193" s="58" t="s">
        <v>442</v>
      </c>
      <c r="C193" s="58" t="s">
        <v>587</v>
      </c>
      <c r="D193" s="58" t="s">
        <v>591</v>
      </c>
    </row>
    <row r="194" spans="2:4">
      <c r="B194" s="58" t="s">
        <v>442</v>
      </c>
      <c r="C194" s="58" t="s">
        <v>587</v>
      </c>
      <c r="D194" s="58" t="s">
        <v>592</v>
      </c>
    </row>
    <row r="195" spans="2:4">
      <c r="B195" s="58" t="s">
        <v>442</v>
      </c>
      <c r="C195" s="58" t="s">
        <v>587</v>
      </c>
      <c r="D195" s="58" t="s">
        <v>593</v>
      </c>
    </row>
    <row r="196" spans="2:4">
      <c r="B196" s="58" t="s">
        <v>442</v>
      </c>
      <c r="C196" s="58" t="s">
        <v>594</v>
      </c>
      <c r="D196" s="58" t="s">
        <v>595</v>
      </c>
    </row>
    <row r="197" spans="2:4">
      <c r="B197" s="58" t="s">
        <v>442</v>
      </c>
      <c r="C197" s="58" t="s">
        <v>594</v>
      </c>
      <c r="D197" s="58" t="s">
        <v>596</v>
      </c>
    </row>
    <row r="198" spans="2:4">
      <c r="B198" s="58" t="s">
        <v>442</v>
      </c>
      <c r="C198" s="58" t="s">
        <v>594</v>
      </c>
      <c r="D198" s="58" t="s">
        <v>597</v>
      </c>
    </row>
    <row r="199" spans="2:4">
      <c r="B199" s="58" t="s">
        <v>442</v>
      </c>
      <c r="C199" s="58" t="s">
        <v>594</v>
      </c>
      <c r="D199" s="58" t="s">
        <v>598</v>
      </c>
    </row>
    <row r="200" spans="2:4">
      <c r="B200" s="58" t="s">
        <v>442</v>
      </c>
      <c r="C200" s="58" t="s">
        <v>594</v>
      </c>
      <c r="D200" s="58" t="s">
        <v>599</v>
      </c>
    </row>
    <row r="201" spans="2:4">
      <c r="B201" s="58" t="s">
        <v>442</v>
      </c>
      <c r="C201" s="58" t="s">
        <v>594</v>
      </c>
      <c r="D201" s="58" t="s">
        <v>600</v>
      </c>
    </row>
    <row r="202" spans="2:4">
      <c r="B202" s="58" t="s">
        <v>442</v>
      </c>
      <c r="C202" s="58" t="s">
        <v>594</v>
      </c>
      <c r="D202" s="58" t="s">
        <v>601</v>
      </c>
    </row>
    <row r="203" spans="2:4">
      <c r="B203" s="58" t="s">
        <v>442</v>
      </c>
      <c r="C203" s="58" t="s">
        <v>594</v>
      </c>
      <c r="D203" s="58" t="s">
        <v>602</v>
      </c>
    </row>
    <row r="204" spans="2:4">
      <c r="B204" s="58" t="s">
        <v>442</v>
      </c>
      <c r="C204" s="58" t="s">
        <v>594</v>
      </c>
      <c r="D204" s="58" t="s">
        <v>603</v>
      </c>
    </row>
    <row r="205" spans="2:4">
      <c r="B205" s="58" t="s">
        <v>442</v>
      </c>
      <c r="C205" s="58" t="s">
        <v>594</v>
      </c>
      <c r="D205" s="58" t="s">
        <v>604</v>
      </c>
    </row>
    <row r="206" spans="2:4">
      <c r="B206" s="58" t="s">
        <v>442</v>
      </c>
      <c r="C206" s="58" t="s">
        <v>594</v>
      </c>
      <c r="D206" s="58" t="s">
        <v>605</v>
      </c>
    </row>
    <row r="207" spans="2:4">
      <c r="B207" s="58" t="s">
        <v>442</v>
      </c>
      <c r="C207" s="58" t="s">
        <v>594</v>
      </c>
      <c r="D207" s="58" t="s">
        <v>606</v>
      </c>
    </row>
    <row r="208" spans="2:4">
      <c r="B208" s="58" t="s">
        <v>442</v>
      </c>
      <c r="C208" s="58" t="s">
        <v>594</v>
      </c>
      <c r="D208" s="58" t="s">
        <v>607</v>
      </c>
    </row>
    <row r="209" spans="2:4">
      <c r="B209" s="58" t="s">
        <v>442</v>
      </c>
      <c r="C209" s="58" t="s">
        <v>594</v>
      </c>
      <c r="D209" s="58" t="s">
        <v>608</v>
      </c>
    </row>
    <row r="210" spans="2:4">
      <c r="B210" s="58" t="s">
        <v>442</v>
      </c>
      <c r="C210" s="58" t="s">
        <v>609</v>
      </c>
      <c r="D210" s="58" t="s">
        <v>610</v>
      </c>
    </row>
    <row r="211" spans="2:4">
      <c r="B211" s="58" t="s">
        <v>442</v>
      </c>
      <c r="C211" s="58" t="s">
        <v>609</v>
      </c>
      <c r="D211" s="58" t="s">
        <v>611</v>
      </c>
    </row>
    <row r="212" spans="2:4">
      <c r="B212" s="58" t="s">
        <v>612</v>
      </c>
      <c r="C212" s="58" t="s">
        <v>613</v>
      </c>
      <c r="D212" s="58" t="s">
        <v>614</v>
      </c>
    </row>
    <row r="213" spans="2:4">
      <c r="B213" s="58" t="s">
        <v>612</v>
      </c>
      <c r="C213" s="58" t="s">
        <v>613</v>
      </c>
      <c r="D213" s="58" t="s">
        <v>615</v>
      </c>
    </row>
    <row r="214" spans="2:4">
      <c r="B214" s="58" t="s">
        <v>616</v>
      </c>
      <c r="C214" s="58" t="s">
        <v>617</v>
      </c>
      <c r="D214" s="58" t="s">
        <v>618</v>
      </c>
    </row>
    <row r="215" spans="2:4">
      <c r="B215" s="58" t="s">
        <v>616</v>
      </c>
      <c r="C215" s="58" t="s">
        <v>619</v>
      </c>
      <c r="D215" s="58" t="s">
        <v>620</v>
      </c>
    </row>
    <row r="216" spans="2:4">
      <c r="B216" s="58" t="s">
        <v>616</v>
      </c>
      <c r="C216" s="58" t="s">
        <v>619</v>
      </c>
      <c r="D216" s="58" t="s">
        <v>621</v>
      </c>
    </row>
    <row r="217" spans="2:4">
      <c r="B217" s="58" t="s">
        <v>616</v>
      </c>
      <c r="C217" s="58" t="s">
        <v>619</v>
      </c>
      <c r="D217" s="58" t="s">
        <v>622</v>
      </c>
    </row>
    <row r="218" spans="2:4">
      <c r="B218" s="58" t="s">
        <v>616</v>
      </c>
      <c r="C218" s="58" t="s">
        <v>619</v>
      </c>
      <c r="D218" s="58" t="s">
        <v>623</v>
      </c>
    </row>
    <row r="219" spans="2:4">
      <c r="B219" s="58" t="s">
        <v>616</v>
      </c>
      <c r="C219" s="58" t="s">
        <v>619</v>
      </c>
      <c r="D219" s="58" t="s">
        <v>624</v>
      </c>
    </row>
    <row r="220" spans="2:4">
      <c r="B220" s="58" t="s">
        <v>625</v>
      </c>
      <c r="C220" s="58" t="s">
        <v>626</v>
      </c>
      <c r="D220" s="58" t="s">
        <v>627</v>
      </c>
    </row>
    <row r="221" spans="2:4">
      <c r="B221" s="58" t="s">
        <v>628</v>
      </c>
      <c r="C221" s="58" t="s">
        <v>629</v>
      </c>
      <c r="D221" s="58" t="s">
        <v>630</v>
      </c>
    </row>
    <row r="222" spans="2:4">
      <c r="B222" s="58" t="s">
        <v>628</v>
      </c>
      <c r="C222" s="58" t="s">
        <v>629</v>
      </c>
      <c r="D222" s="58" t="s">
        <v>631</v>
      </c>
    </row>
    <row r="223" spans="2:4">
      <c r="B223" s="58" t="s">
        <v>628</v>
      </c>
      <c r="C223" s="58" t="s">
        <v>629</v>
      </c>
      <c r="D223" s="58" t="s">
        <v>632</v>
      </c>
    </row>
    <row r="224" spans="2:4">
      <c r="B224" s="58" t="s">
        <v>628</v>
      </c>
      <c r="C224" s="58" t="s">
        <v>629</v>
      </c>
      <c r="D224" s="58" t="s">
        <v>633</v>
      </c>
    </row>
    <row r="225" spans="2:4">
      <c r="B225" s="58" t="s">
        <v>628</v>
      </c>
      <c r="C225" s="58" t="s">
        <v>629</v>
      </c>
      <c r="D225" s="58" t="s">
        <v>634</v>
      </c>
    </row>
    <row r="226" spans="2:4">
      <c r="B226" s="58" t="s">
        <v>635</v>
      </c>
      <c r="C226" s="58" t="s">
        <v>636</v>
      </c>
      <c r="D226" s="58" t="s">
        <v>637</v>
      </c>
    </row>
    <row r="227" spans="2:4">
      <c r="B227" s="58" t="s">
        <v>635</v>
      </c>
      <c r="C227" s="58" t="s">
        <v>636</v>
      </c>
      <c r="D227" s="58" t="s">
        <v>638</v>
      </c>
    </row>
    <row r="228" spans="2:4">
      <c r="B228" s="58" t="s">
        <v>635</v>
      </c>
      <c r="C228" s="58" t="s">
        <v>639</v>
      </c>
      <c r="D228" s="58" t="s">
        <v>640</v>
      </c>
    </row>
    <row r="229" spans="2:4">
      <c r="B229" s="58" t="s">
        <v>635</v>
      </c>
      <c r="C229" s="58" t="s">
        <v>639</v>
      </c>
      <c r="D229" s="58" t="s">
        <v>641</v>
      </c>
    </row>
    <row r="230" spans="2:4">
      <c r="B230" s="58" t="s">
        <v>635</v>
      </c>
      <c r="C230" s="58" t="s">
        <v>639</v>
      </c>
      <c r="D230" s="58" t="s">
        <v>642</v>
      </c>
    </row>
    <row r="231" spans="2:4">
      <c r="B231" s="58" t="s">
        <v>635</v>
      </c>
      <c r="C231" s="58" t="s">
        <v>639</v>
      </c>
      <c r="D231" s="58" t="s">
        <v>643</v>
      </c>
    </row>
    <row r="232" spans="2:4">
      <c r="B232" s="58" t="s">
        <v>635</v>
      </c>
      <c r="C232" s="58" t="s">
        <v>639</v>
      </c>
      <c r="D232" s="58" t="s">
        <v>644</v>
      </c>
    </row>
    <row r="233" spans="2:4">
      <c r="B233" s="58" t="s">
        <v>635</v>
      </c>
      <c r="C233" s="58" t="s">
        <v>639</v>
      </c>
      <c r="D233" s="58" t="s">
        <v>645</v>
      </c>
    </row>
    <row r="234" spans="2:4">
      <c r="B234" s="58" t="s">
        <v>635</v>
      </c>
      <c r="C234" s="58" t="s">
        <v>646</v>
      </c>
      <c r="D234" s="58" t="s">
        <v>647</v>
      </c>
    </row>
    <row r="235" spans="2:4">
      <c r="B235" s="58" t="s">
        <v>648</v>
      </c>
      <c r="C235" s="58" t="s">
        <v>649</v>
      </c>
      <c r="D235" s="58" t="s">
        <v>650</v>
      </c>
    </row>
    <row r="236" spans="2:4">
      <c r="B236" s="58" t="s">
        <v>648</v>
      </c>
      <c r="C236" s="58" t="s">
        <v>649</v>
      </c>
      <c r="D236" s="58" t="s">
        <v>651</v>
      </c>
    </row>
    <row r="237" spans="2:4">
      <c r="B237" s="58" t="s">
        <v>648</v>
      </c>
      <c r="C237" s="58" t="s">
        <v>649</v>
      </c>
      <c r="D237" s="58" t="s">
        <v>652</v>
      </c>
    </row>
    <row r="238" spans="2:4">
      <c r="B238" s="58" t="s">
        <v>648</v>
      </c>
      <c r="C238" s="58" t="s">
        <v>649</v>
      </c>
      <c r="D238" s="58" t="s">
        <v>653</v>
      </c>
    </row>
    <row r="239" spans="2:4">
      <c r="B239" s="58" t="s">
        <v>648</v>
      </c>
      <c r="C239" s="58" t="s">
        <v>654</v>
      </c>
      <c r="D239" s="58" t="s">
        <v>655</v>
      </c>
    </row>
    <row r="240" spans="2:4">
      <c r="B240" s="58" t="s">
        <v>648</v>
      </c>
      <c r="C240" s="58" t="s">
        <v>654</v>
      </c>
      <c r="D240" s="58" t="s">
        <v>656</v>
      </c>
    </row>
    <row r="241" spans="2:4">
      <c r="B241" s="58" t="s">
        <v>648</v>
      </c>
      <c r="C241" s="58" t="s">
        <v>657</v>
      </c>
      <c r="D241" s="58" t="s">
        <v>658</v>
      </c>
    </row>
    <row r="242" spans="2:4">
      <c r="B242" s="58" t="s">
        <v>648</v>
      </c>
      <c r="C242" s="58" t="s">
        <v>463</v>
      </c>
      <c r="D242" s="58" t="s">
        <v>659</v>
      </c>
    </row>
    <row r="243" spans="2:4">
      <c r="B243" s="58" t="s">
        <v>648</v>
      </c>
      <c r="C243" s="58" t="s">
        <v>660</v>
      </c>
      <c r="D243" s="58" t="s">
        <v>661</v>
      </c>
    </row>
    <row r="244" spans="2:4">
      <c r="B244" s="58" t="s">
        <v>648</v>
      </c>
      <c r="C244" s="58" t="s">
        <v>662</v>
      </c>
      <c r="D244" s="58" t="s">
        <v>663</v>
      </c>
    </row>
    <row r="245" spans="2:4">
      <c r="B245" s="58" t="s">
        <v>648</v>
      </c>
      <c r="C245" s="58" t="s">
        <v>664</v>
      </c>
      <c r="D245" s="58" t="s">
        <v>665</v>
      </c>
    </row>
    <row r="246" spans="2:4">
      <c r="B246" s="58" t="s">
        <v>648</v>
      </c>
      <c r="C246" s="58" t="s">
        <v>666</v>
      </c>
      <c r="D246" s="58" t="s">
        <v>667</v>
      </c>
    </row>
    <row r="247" spans="2:4">
      <c r="B247" s="58" t="s">
        <v>648</v>
      </c>
      <c r="C247" s="58" t="s">
        <v>666</v>
      </c>
      <c r="D247" s="58" t="s">
        <v>668</v>
      </c>
    </row>
    <row r="248" spans="2:4">
      <c r="B248" s="58" t="s">
        <v>648</v>
      </c>
      <c r="C248" s="58" t="s">
        <v>666</v>
      </c>
      <c r="D248" s="58" t="s">
        <v>669</v>
      </c>
    </row>
    <row r="249" spans="2:4">
      <c r="B249" s="58" t="s">
        <v>648</v>
      </c>
      <c r="C249" s="58" t="s">
        <v>666</v>
      </c>
      <c r="D249" s="58" t="s">
        <v>670</v>
      </c>
    </row>
    <row r="250" spans="2:4">
      <c r="B250" s="58" t="s">
        <v>648</v>
      </c>
      <c r="C250" s="58" t="s">
        <v>666</v>
      </c>
      <c r="D250" s="58" t="s">
        <v>671</v>
      </c>
    </row>
    <row r="251" spans="2:4">
      <c r="B251" s="58" t="s">
        <v>648</v>
      </c>
      <c r="C251" s="58" t="s">
        <v>666</v>
      </c>
      <c r="D251" s="58" t="s">
        <v>672</v>
      </c>
    </row>
    <row r="252" spans="2:4">
      <c r="B252" s="58" t="s">
        <v>648</v>
      </c>
      <c r="C252" s="58" t="s">
        <v>666</v>
      </c>
      <c r="D252" s="58" t="s">
        <v>673</v>
      </c>
    </row>
    <row r="253" spans="2:4">
      <c r="B253" s="58" t="s">
        <v>648</v>
      </c>
      <c r="C253" s="58" t="s">
        <v>666</v>
      </c>
      <c r="D253" s="58" t="s">
        <v>674</v>
      </c>
    </row>
    <row r="254" spans="2:4">
      <c r="B254" s="58" t="s">
        <v>648</v>
      </c>
      <c r="C254" s="58" t="s">
        <v>666</v>
      </c>
      <c r="D254" s="58" t="s">
        <v>675</v>
      </c>
    </row>
    <row r="255" spans="2:4">
      <c r="B255" s="58" t="s">
        <v>648</v>
      </c>
      <c r="C255" s="58" t="s">
        <v>666</v>
      </c>
      <c r="D255" s="58" t="s">
        <v>676</v>
      </c>
    </row>
    <row r="256" spans="2:4">
      <c r="B256" s="58" t="s">
        <v>648</v>
      </c>
      <c r="C256" s="58" t="s">
        <v>677</v>
      </c>
      <c r="D256" s="58" t="s">
        <v>678</v>
      </c>
    </row>
    <row r="257" spans="2:4">
      <c r="B257" s="58" t="s">
        <v>648</v>
      </c>
      <c r="C257" s="58" t="s">
        <v>553</v>
      </c>
      <c r="D257" s="58" t="s">
        <v>679</v>
      </c>
    </row>
    <row r="258" spans="2:4">
      <c r="B258" s="58" t="s">
        <v>648</v>
      </c>
      <c r="C258" s="58" t="s">
        <v>680</v>
      </c>
      <c r="D258" s="58" t="s">
        <v>681</v>
      </c>
    </row>
    <row r="259" spans="2:4">
      <c r="B259" s="58" t="s">
        <v>648</v>
      </c>
      <c r="C259" s="58" t="s">
        <v>680</v>
      </c>
      <c r="D259" s="58" t="s">
        <v>682</v>
      </c>
    </row>
    <row r="260" spans="2:4">
      <c r="B260" s="58" t="s">
        <v>648</v>
      </c>
      <c r="C260" s="58" t="s">
        <v>680</v>
      </c>
      <c r="D260" s="58" t="s">
        <v>683</v>
      </c>
    </row>
    <row r="261" spans="2:4">
      <c r="B261" s="58" t="s">
        <v>648</v>
      </c>
      <c r="C261" s="58" t="s">
        <v>684</v>
      </c>
      <c r="D261" s="58" t="s">
        <v>685</v>
      </c>
    </row>
    <row r="262" spans="2:4">
      <c r="B262" s="58" t="s">
        <v>648</v>
      </c>
      <c r="C262" s="58" t="s">
        <v>684</v>
      </c>
      <c r="D262" s="58" t="s">
        <v>686</v>
      </c>
    </row>
    <row r="263" spans="2:4">
      <c r="B263" s="58" t="s">
        <v>687</v>
      </c>
      <c r="C263" s="58" t="s">
        <v>594</v>
      </c>
      <c r="D263" s="58" t="s">
        <v>688</v>
      </c>
    </row>
    <row r="264" spans="2:4">
      <c r="B264" s="58" t="s">
        <v>687</v>
      </c>
      <c r="C264" s="58" t="s">
        <v>594</v>
      </c>
      <c r="D264" s="58" t="s">
        <v>689</v>
      </c>
    </row>
    <row r="265" spans="2:4">
      <c r="B265" s="58" t="s">
        <v>687</v>
      </c>
      <c r="C265" s="58" t="s">
        <v>690</v>
      </c>
      <c r="D265" s="58" t="s">
        <v>691</v>
      </c>
    </row>
    <row r="266" spans="2:4">
      <c r="B266" s="58" t="s">
        <v>692</v>
      </c>
      <c r="C266" s="58" t="s">
        <v>555</v>
      </c>
      <c r="D266" s="58" t="s">
        <v>693</v>
      </c>
    </row>
    <row r="267" spans="2:4">
      <c r="B267" s="58" t="s">
        <v>692</v>
      </c>
      <c r="C267" s="58" t="s">
        <v>694</v>
      </c>
      <c r="D267" s="58" t="s">
        <v>695</v>
      </c>
    </row>
    <row r="268" spans="2:4">
      <c r="B268" s="58" t="s">
        <v>711</v>
      </c>
      <c r="C268" s="58" t="s">
        <v>452</v>
      </c>
      <c r="D268" s="58" t="s">
        <v>696</v>
      </c>
    </row>
    <row r="269" spans="2:4">
      <c r="B269" s="58" t="s">
        <v>711</v>
      </c>
      <c r="C269" s="58" t="s">
        <v>697</v>
      </c>
      <c r="D269" s="58" t="s">
        <v>698</v>
      </c>
    </row>
    <row r="270" spans="2:4">
      <c r="B270" s="58" t="s">
        <v>711</v>
      </c>
      <c r="C270" s="58" t="s">
        <v>697</v>
      </c>
      <c r="D270" s="58" t="s">
        <v>699</v>
      </c>
    </row>
    <row r="271" spans="2:4">
      <c r="B271" s="58" t="s">
        <v>711</v>
      </c>
      <c r="C271" s="58" t="s">
        <v>700</v>
      </c>
      <c r="D271" s="58" t="s">
        <v>701</v>
      </c>
    </row>
    <row r="272" spans="2:4">
      <c r="B272" s="58" t="s">
        <v>711</v>
      </c>
      <c r="C272" s="58" t="s">
        <v>700</v>
      </c>
      <c r="D272" s="58" t="s">
        <v>702</v>
      </c>
    </row>
    <row r="273" spans="2:4">
      <c r="B273" s="58" t="s">
        <v>711</v>
      </c>
      <c r="C273" s="58" t="s">
        <v>700</v>
      </c>
      <c r="D273" s="58" t="s">
        <v>703</v>
      </c>
    </row>
    <row r="274" spans="2:4">
      <c r="B274" s="58" t="s">
        <v>711</v>
      </c>
      <c r="C274" s="58" t="s">
        <v>704</v>
      </c>
      <c r="D274" s="58" t="s">
        <v>705</v>
      </c>
    </row>
    <row r="275" spans="2:4">
      <c r="B275" s="58" t="s">
        <v>711</v>
      </c>
      <c r="C275" s="58" t="s">
        <v>706</v>
      </c>
      <c r="D275" s="58" t="s">
        <v>707</v>
      </c>
    </row>
    <row r="276" spans="2:4">
      <c r="B276" s="58" t="s">
        <v>711</v>
      </c>
      <c r="C276" s="58" t="s">
        <v>706</v>
      </c>
      <c r="D276" s="58" t="s">
        <v>353</v>
      </c>
    </row>
    <row r="277" spans="2:4">
      <c r="B277" s="58" t="s">
        <v>711</v>
      </c>
      <c r="C277" s="58" t="s">
        <v>712</v>
      </c>
      <c r="D277" s="58" t="s">
        <v>708</v>
      </c>
    </row>
    <row r="278" spans="2:4">
      <c r="B278" s="58" t="s">
        <v>711</v>
      </c>
      <c r="C278" s="58" t="s">
        <v>713</v>
      </c>
      <c r="D278" s="58" t="s">
        <v>709</v>
      </c>
    </row>
    <row r="279" spans="2:4">
      <c r="B279" s="58" t="s">
        <v>711</v>
      </c>
      <c r="C279" s="58" t="s">
        <v>713</v>
      </c>
      <c r="D279" s="58" t="s">
        <v>710</v>
      </c>
    </row>
    <row r="280" spans="2:4">
      <c r="B280" s="58" t="s">
        <v>494</v>
      </c>
      <c r="C280" s="58" t="s">
        <v>511</v>
      </c>
      <c r="D280" s="58" t="s">
        <v>524</v>
      </c>
    </row>
    <row r="281" spans="2:4">
      <c r="B281" s="80" t="s">
        <v>403</v>
      </c>
      <c r="C281" s="80" t="s">
        <v>404</v>
      </c>
      <c r="D281" s="81" t="s">
        <v>752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25"/>
  <sheetViews>
    <sheetView showGridLines="0" topLeftCell="A13" workbookViewId="0">
      <selection activeCell="B19" sqref="B19"/>
    </sheetView>
  </sheetViews>
  <sheetFormatPr defaultRowHeight="15"/>
  <cols>
    <col min="2" max="2" width="125.7109375" bestFit="1" customWidth="1"/>
    <col min="4" max="4" width="12.5703125" bestFit="1" customWidth="1"/>
  </cols>
  <sheetData>
    <row r="1" spans="1:4">
      <c r="A1" s="150" t="s">
        <v>276</v>
      </c>
      <c r="B1" s="50" t="s">
        <v>277</v>
      </c>
      <c r="C1" s="50"/>
      <c r="D1" s="50" t="s">
        <v>276</v>
      </c>
    </row>
    <row r="2" spans="1:4">
      <c r="A2" s="150"/>
      <c r="B2" s="50" t="s">
        <v>278</v>
      </c>
      <c r="C2" s="50"/>
      <c r="D2" s="50" t="s">
        <v>276</v>
      </c>
    </row>
    <row r="3" spans="1:4">
      <c r="A3" s="150"/>
      <c r="B3" s="50" t="s">
        <v>279</v>
      </c>
      <c r="C3" s="50"/>
      <c r="D3" s="50" t="s">
        <v>276</v>
      </c>
    </row>
    <row r="4" spans="1:4">
      <c r="A4" s="150"/>
      <c r="B4" s="50" t="s">
        <v>280</v>
      </c>
      <c r="C4" s="50"/>
      <c r="D4" s="50" t="s">
        <v>276</v>
      </c>
    </row>
    <row r="5" spans="1:4">
      <c r="A5" s="150"/>
      <c r="B5" s="50" t="s">
        <v>281</v>
      </c>
      <c r="C5" s="50"/>
      <c r="D5" s="50" t="s">
        <v>276</v>
      </c>
    </row>
    <row r="6" spans="1:4">
      <c r="A6" s="150"/>
      <c r="B6" s="50" t="s">
        <v>282</v>
      </c>
      <c r="C6" s="50"/>
      <c r="D6" s="50" t="s">
        <v>276</v>
      </c>
    </row>
    <row r="7" spans="1:4">
      <c r="A7" s="150"/>
      <c r="B7" s="50" t="s">
        <v>283</v>
      </c>
      <c r="C7" s="50"/>
      <c r="D7" s="50" t="s">
        <v>276</v>
      </c>
    </row>
    <row r="8" spans="1:4">
      <c r="A8" s="150"/>
      <c r="B8" s="50" t="s">
        <v>284</v>
      </c>
      <c r="C8" s="50"/>
      <c r="D8" s="50" t="s">
        <v>276</v>
      </c>
    </row>
    <row r="9" spans="1:4">
      <c r="A9" s="150"/>
      <c r="B9" s="50" t="s">
        <v>285</v>
      </c>
      <c r="C9" s="50"/>
      <c r="D9" s="50" t="s">
        <v>276</v>
      </c>
    </row>
    <row r="10" spans="1:4">
      <c r="A10" s="150"/>
      <c r="B10" s="50" t="s">
        <v>286</v>
      </c>
      <c r="C10" s="50"/>
      <c r="D10" s="50" t="s">
        <v>276</v>
      </c>
    </row>
    <row r="11" spans="1:4">
      <c r="A11" s="150"/>
      <c r="B11" s="50" t="s">
        <v>287</v>
      </c>
      <c r="C11" s="50"/>
      <c r="D11" s="50" t="s">
        <v>276</v>
      </c>
    </row>
    <row r="12" spans="1:4">
      <c r="A12" s="150"/>
      <c r="B12" s="50" t="s">
        <v>288</v>
      </c>
      <c r="C12" s="50"/>
      <c r="D12" s="50" t="s">
        <v>276</v>
      </c>
    </row>
    <row r="13" spans="1:4">
      <c r="A13" s="150"/>
      <c r="B13" s="50" t="s">
        <v>289</v>
      </c>
      <c r="C13" s="50"/>
      <c r="D13" s="50" t="s">
        <v>276</v>
      </c>
    </row>
    <row r="14" spans="1:4">
      <c r="A14" s="150"/>
      <c r="B14" s="50" t="s">
        <v>290</v>
      </c>
      <c r="C14" s="50"/>
      <c r="D14" s="50" t="s">
        <v>276</v>
      </c>
    </row>
    <row r="15" spans="1:4">
      <c r="A15" s="150"/>
      <c r="B15" s="50" t="s">
        <v>291</v>
      </c>
      <c r="C15" s="50"/>
      <c r="D15" s="50" t="s">
        <v>276</v>
      </c>
    </row>
    <row r="16" spans="1:4">
      <c r="A16" s="150"/>
      <c r="B16" s="50" t="s">
        <v>292</v>
      </c>
      <c r="C16" s="50"/>
      <c r="D16" s="50" t="s">
        <v>276</v>
      </c>
    </row>
    <row r="17" spans="1:4">
      <c r="A17" s="150"/>
      <c r="B17" s="50" t="s">
        <v>293</v>
      </c>
      <c r="C17" s="50"/>
      <c r="D17" s="50" t="s">
        <v>276</v>
      </c>
    </row>
    <row r="18" spans="1:4">
      <c r="A18" s="150"/>
      <c r="B18" s="50" t="s">
        <v>294</v>
      </c>
      <c r="C18" s="50"/>
      <c r="D18" s="50" t="s">
        <v>276</v>
      </c>
    </row>
    <row r="19" spans="1:4" ht="26.25">
      <c r="A19" s="151" t="s">
        <v>295</v>
      </c>
      <c r="B19" s="51" t="s">
        <v>296</v>
      </c>
      <c r="C19" s="51"/>
      <c r="D19" s="52" t="s">
        <v>295</v>
      </c>
    </row>
    <row r="20" spans="1:4" ht="26.25">
      <c r="A20" s="151"/>
      <c r="B20" s="51" t="s">
        <v>297</v>
      </c>
      <c r="C20" s="51"/>
      <c r="D20" s="52" t="s">
        <v>295</v>
      </c>
    </row>
    <row r="21" spans="1:4" ht="26.25">
      <c r="A21" s="151"/>
      <c r="B21" s="51" t="s">
        <v>298</v>
      </c>
      <c r="C21" s="51"/>
      <c r="D21" s="52" t="s">
        <v>295</v>
      </c>
    </row>
    <row r="22" spans="1:4" ht="26.25">
      <c r="A22" s="151"/>
      <c r="B22" s="51" t="s">
        <v>299</v>
      </c>
      <c r="C22" s="51"/>
      <c r="D22" s="52" t="s">
        <v>295</v>
      </c>
    </row>
    <row r="23" spans="1:4" ht="26.25">
      <c r="A23" s="151"/>
      <c r="B23" s="51" t="s">
        <v>300</v>
      </c>
      <c r="C23" s="51"/>
      <c r="D23" s="52" t="s">
        <v>295</v>
      </c>
    </row>
    <row r="24" spans="1:4" ht="26.25">
      <c r="A24" s="151"/>
      <c r="B24" s="51" t="s">
        <v>301</v>
      </c>
      <c r="C24" s="53"/>
      <c r="D24" s="52" t="s">
        <v>295</v>
      </c>
    </row>
    <row r="25" spans="1:4" ht="26.25">
      <c r="A25" s="151"/>
      <c r="B25" s="51" t="s">
        <v>302</v>
      </c>
      <c r="C25" s="53"/>
      <c r="D25" s="52" t="s">
        <v>295</v>
      </c>
    </row>
  </sheetData>
  <mergeCells count="2">
    <mergeCell ref="A1:A18"/>
    <mergeCell ref="A19:A2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56"/>
  <sheetViews>
    <sheetView showGridLines="0" workbookViewId="0">
      <selection activeCell="B20" sqref="B20"/>
    </sheetView>
  </sheetViews>
  <sheetFormatPr defaultRowHeight="15.75"/>
  <cols>
    <col min="1" max="1" width="9.140625" style="57"/>
    <col min="2" max="2" width="45" style="57" customWidth="1"/>
    <col min="3" max="3" width="43.5703125" style="57" customWidth="1"/>
    <col min="4" max="16384" width="9.140625" style="57"/>
  </cols>
  <sheetData>
    <row r="1" spans="1:3" ht="16.5" thickBot="1">
      <c r="A1" s="55" t="s">
        <v>157</v>
      </c>
      <c r="B1" s="56" t="s">
        <v>158</v>
      </c>
      <c r="C1" s="56" t="s">
        <v>159</v>
      </c>
    </row>
    <row r="2" spans="1:3" ht="16.5" thickBot="1">
      <c r="A2" s="45">
        <v>1</v>
      </c>
      <c r="B2" s="46" t="s">
        <v>160</v>
      </c>
      <c r="C2" s="46" t="s">
        <v>161</v>
      </c>
    </row>
    <row r="3" spans="1:3" ht="16.5" thickBot="1">
      <c r="A3" s="45">
        <v>2</v>
      </c>
      <c r="B3" s="46" t="s">
        <v>162</v>
      </c>
      <c r="C3" s="47" t="s">
        <v>163</v>
      </c>
    </row>
    <row r="4" spans="1:3" ht="16.5" thickBot="1">
      <c r="A4" s="45">
        <v>3</v>
      </c>
      <c r="B4" s="46" t="s">
        <v>164</v>
      </c>
      <c r="C4" s="46" t="s">
        <v>165</v>
      </c>
    </row>
    <row r="5" spans="1:3" ht="16.5" thickBot="1">
      <c r="A5" s="45">
        <v>4</v>
      </c>
      <c r="B5" s="46" t="s">
        <v>166</v>
      </c>
      <c r="C5" s="46" t="s">
        <v>167</v>
      </c>
    </row>
    <row r="6" spans="1:3" ht="16.5" thickBot="1">
      <c r="A6" s="45">
        <v>5</v>
      </c>
      <c r="B6" s="46" t="s">
        <v>168</v>
      </c>
      <c r="C6" s="46" t="s">
        <v>169</v>
      </c>
    </row>
    <row r="7" spans="1:3" ht="16.5" thickBot="1">
      <c r="A7" s="45">
        <v>6</v>
      </c>
      <c r="B7" s="46" t="s">
        <v>170</v>
      </c>
      <c r="C7" s="46" t="s">
        <v>171</v>
      </c>
    </row>
    <row r="8" spans="1:3" ht="16.5" thickBot="1">
      <c r="A8" s="45">
        <v>7</v>
      </c>
      <c r="B8" s="46" t="s">
        <v>172</v>
      </c>
      <c r="C8" s="46" t="s">
        <v>173</v>
      </c>
    </row>
    <row r="9" spans="1:3" ht="16.5" thickBot="1">
      <c r="A9" s="45">
        <v>8</v>
      </c>
      <c r="B9" s="46" t="s">
        <v>174</v>
      </c>
      <c r="C9" s="46" t="s">
        <v>175</v>
      </c>
    </row>
    <row r="10" spans="1:3" ht="16.5" thickBot="1">
      <c r="A10" s="45">
        <v>9</v>
      </c>
      <c r="B10" s="46" t="s">
        <v>176</v>
      </c>
      <c r="C10" s="46" t="s">
        <v>177</v>
      </c>
    </row>
    <row r="11" spans="1:3" ht="16.5" thickBot="1">
      <c r="A11" s="45">
        <v>10</v>
      </c>
      <c r="B11" s="46" t="s">
        <v>178</v>
      </c>
      <c r="C11" s="46" t="s">
        <v>179</v>
      </c>
    </row>
    <row r="12" spans="1:3" ht="16.5" thickBot="1">
      <c r="A12" s="45">
        <v>11</v>
      </c>
      <c r="B12" s="46" t="s">
        <v>180</v>
      </c>
      <c r="C12" s="46" t="s">
        <v>181</v>
      </c>
    </row>
    <row r="13" spans="1:3" ht="16.5" thickBot="1">
      <c r="A13" s="45">
        <v>12</v>
      </c>
      <c r="B13" s="46" t="s">
        <v>182</v>
      </c>
      <c r="C13" s="46" t="s">
        <v>183</v>
      </c>
    </row>
    <row r="14" spans="1:3" ht="16.5" thickBot="1">
      <c r="A14" s="45">
        <v>13</v>
      </c>
      <c r="B14" s="46" t="s">
        <v>184</v>
      </c>
      <c r="C14" s="46" t="s">
        <v>185</v>
      </c>
    </row>
    <row r="15" spans="1:3" ht="16.5" thickBot="1">
      <c r="A15" s="45">
        <v>14</v>
      </c>
      <c r="B15" s="46" t="s">
        <v>186</v>
      </c>
      <c r="C15" s="46" t="s">
        <v>187</v>
      </c>
    </row>
    <row r="16" spans="1:3" ht="16.5" thickBot="1">
      <c r="A16" s="45">
        <v>15</v>
      </c>
      <c r="B16" s="46" t="s">
        <v>188</v>
      </c>
      <c r="C16" s="46" t="s">
        <v>189</v>
      </c>
    </row>
    <row r="17" spans="1:3" ht="16.5" thickBot="1">
      <c r="A17" s="45">
        <v>16</v>
      </c>
      <c r="B17" s="46" t="s">
        <v>190</v>
      </c>
      <c r="C17" s="46" t="s">
        <v>191</v>
      </c>
    </row>
    <row r="18" spans="1:3" ht="16.5" thickBot="1">
      <c r="A18" s="45">
        <v>17</v>
      </c>
      <c r="B18" s="46" t="s">
        <v>192</v>
      </c>
      <c r="C18" s="46" t="s">
        <v>193</v>
      </c>
    </row>
    <row r="19" spans="1:3" ht="16.5" thickBot="1">
      <c r="A19" s="45">
        <v>18</v>
      </c>
      <c r="B19" s="46" t="s">
        <v>194</v>
      </c>
      <c r="C19" s="46" t="s">
        <v>195</v>
      </c>
    </row>
    <row r="20" spans="1:3" ht="16.5" thickBot="1">
      <c r="A20" s="45">
        <v>19</v>
      </c>
      <c r="B20" s="46" t="s">
        <v>196</v>
      </c>
      <c r="C20" s="46" t="s">
        <v>197</v>
      </c>
    </row>
    <row r="21" spans="1:3" ht="16.5" thickBot="1">
      <c r="A21" s="45">
        <v>20</v>
      </c>
      <c r="B21" s="46" t="s">
        <v>198</v>
      </c>
      <c r="C21" s="46" t="s">
        <v>199</v>
      </c>
    </row>
    <row r="22" spans="1:3" ht="16.5" thickBot="1">
      <c r="A22" s="45">
        <v>21</v>
      </c>
      <c r="B22" s="48" t="s">
        <v>200</v>
      </c>
      <c r="C22" s="48" t="s">
        <v>201</v>
      </c>
    </row>
    <row r="23" spans="1:3" ht="16.5" thickBot="1">
      <c r="A23" s="45">
        <v>22</v>
      </c>
      <c r="B23" s="48" t="s">
        <v>202</v>
      </c>
      <c r="C23" s="48" t="s">
        <v>203</v>
      </c>
    </row>
    <row r="24" spans="1:3" ht="16.5" thickBot="1">
      <c r="A24" s="45">
        <v>23</v>
      </c>
      <c r="B24" s="48" t="s">
        <v>204</v>
      </c>
      <c r="C24" s="48" t="s">
        <v>205</v>
      </c>
    </row>
    <row r="25" spans="1:3" ht="16.5" thickBot="1">
      <c r="A25" s="45">
        <v>24</v>
      </c>
      <c r="B25" s="48" t="s">
        <v>206</v>
      </c>
      <c r="C25" s="48" t="s">
        <v>207</v>
      </c>
    </row>
    <row r="26" spans="1:3" ht="16.5" thickBot="1">
      <c r="A26" s="45">
        <v>25</v>
      </c>
      <c r="B26" s="48" t="s">
        <v>208</v>
      </c>
      <c r="C26" s="48" t="s">
        <v>209</v>
      </c>
    </row>
    <row r="27" spans="1:3" ht="16.5" thickBot="1">
      <c r="A27" s="45">
        <v>26</v>
      </c>
      <c r="B27" s="48" t="s">
        <v>210</v>
      </c>
      <c r="C27" s="48" t="s">
        <v>211</v>
      </c>
    </row>
    <row r="28" spans="1:3" ht="16.5" thickBot="1">
      <c r="A28" s="45">
        <v>27</v>
      </c>
      <c r="B28" s="48" t="s">
        <v>212</v>
      </c>
      <c r="C28" s="48" t="s">
        <v>213</v>
      </c>
    </row>
    <row r="29" spans="1:3" ht="16.5" thickBot="1">
      <c r="A29" s="45">
        <v>28</v>
      </c>
      <c r="B29" s="48" t="s">
        <v>214</v>
      </c>
      <c r="C29" s="48" t="s">
        <v>215</v>
      </c>
    </row>
    <row r="30" spans="1:3" ht="16.5" thickBot="1">
      <c r="A30" s="45">
        <v>29</v>
      </c>
      <c r="B30" s="48" t="s">
        <v>216</v>
      </c>
      <c r="C30" s="48" t="s">
        <v>217</v>
      </c>
    </row>
    <row r="31" spans="1:3" ht="16.5" thickBot="1">
      <c r="A31" s="45">
        <v>30</v>
      </c>
      <c r="B31" s="48" t="s">
        <v>218</v>
      </c>
      <c r="C31" s="48" t="s">
        <v>219</v>
      </c>
    </row>
    <row r="32" spans="1:3" ht="16.5" thickBot="1">
      <c r="A32" s="45">
        <v>31</v>
      </c>
      <c r="B32" s="48" t="s">
        <v>220</v>
      </c>
      <c r="C32" s="48" t="s">
        <v>221</v>
      </c>
    </row>
    <row r="33" spans="1:3" ht="16.5" thickBot="1">
      <c r="A33" s="45">
        <v>32</v>
      </c>
      <c r="B33" s="48" t="s">
        <v>222</v>
      </c>
      <c r="C33" s="48" t="s">
        <v>223</v>
      </c>
    </row>
    <row r="34" spans="1:3" ht="16.5" thickBot="1">
      <c r="A34" s="45">
        <v>33</v>
      </c>
      <c r="B34" s="48" t="s">
        <v>224</v>
      </c>
      <c r="C34" s="48" t="s">
        <v>225</v>
      </c>
    </row>
    <row r="35" spans="1:3" ht="16.5" thickBot="1">
      <c r="A35" s="45">
        <v>34</v>
      </c>
      <c r="B35" s="48" t="s">
        <v>226</v>
      </c>
      <c r="C35" s="48" t="s">
        <v>227</v>
      </c>
    </row>
    <row r="36" spans="1:3" ht="16.5" thickBot="1">
      <c r="A36" s="45">
        <v>35</v>
      </c>
      <c r="B36" s="48" t="s">
        <v>228</v>
      </c>
      <c r="C36" s="48" t="s">
        <v>229</v>
      </c>
    </row>
    <row r="37" spans="1:3" ht="16.5" thickBot="1">
      <c r="A37" s="45">
        <v>36</v>
      </c>
      <c r="B37" s="48" t="s">
        <v>230</v>
      </c>
      <c r="C37" s="48" t="s">
        <v>231</v>
      </c>
    </row>
    <row r="38" spans="1:3" ht="16.5" thickBot="1">
      <c r="A38" s="45">
        <v>37</v>
      </c>
      <c r="B38" s="48" t="s">
        <v>232</v>
      </c>
      <c r="C38" s="48" t="s">
        <v>233</v>
      </c>
    </row>
    <row r="39" spans="1:3" ht="16.5" thickBot="1">
      <c r="A39" s="45">
        <v>38</v>
      </c>
      <c r="B39" s="48" t="s">
        <v>234</v>
      </c>
      <c r="C39" s="48" t="s">
        <v>235</v>
      </c>
    </row>
    <row r="40" spans="1:3" ht="16.5" thickBot="1">
      <c r="A40" s="45">
        <v>39</v>
      </c>
      <c r="B40" s="48" t="s">
        <v>236</v>
      </c>
      <c r="C40" s="48" t="s">
        <v>237</v>
      </c>
    </row>
    <row r="41" spans="1:3" ht="16.5" thickBot="1">
      <c r="A41" s="45">
        <v>40</v>
      </c>
      <c r="B41" s="48" t="s">
        <v>238</v>
      </c>
      <c r="C41" s="48" t="s">
        <v>239</v>
      </c>
    </row>
    <row r="42" spans="1:3" ht="16.5" thickBot="1">
      <c r="A42" s="45">
        <v>41</v>
      </c>
      <c r="B42" s="48" t="s">
        <v>240</v>
      </c>
      <c r="C42" s="48" t="s">
        <v>241</v>
      </c>
    </row>
    <row r="43" spans="1:3" ht="16.5" thickBot="1">
      <c r="A43" s="45">
        <v>42</v>
      </c>
      <c r="B43" s="48" t="s">
        <v>242</v>
      </c>
      <c r="C43" s="48" t="s">
        <v>243</v>
      </c>
    </row>
    <row r="44" spans="1:3" ht="16.5" thickBot="1">
      <c r="A44" s="45">
        <v>43</v>
      </c>
      <c r="B44" s="48" t="s">
        <v>244</v>
      </c>
      <c r="C44" s="48" t="s">
        <v>245</v>
      </c>
    </row>
    <row r="45" spans="1:3" ht="16.5" thickBot="1">
      <c r="A45" s="45">
        <v>44</v>
      </c>
      <c r="B45" s="48" t="s">
        <v>246</v>
      </c>
      <c r="C45" s="48" t="s">
        <v>247</v>
      </c>
    </row>
    <row r="46" spans="1:3" ht="16.5" thickBot="1">
      <c r="A46" s="45">
        <v>45</v>
      </c>
      <c r="B46" s="48" t="s">
        <v>248</v>
      </c>
      <c r="C46" s="48" t="s">
        <v>249</v>
      </c>
    </row>
    <row r="47" spans="1:3" ht="16.5" thickBot="1">
      <c r="A47" s="45">
        <v>46</v>
      </c>
      <c r="B47" s="48" t="s">
        <v>250</v>
      </c>
      <c r="C47" s="48" t="s">
        <v>251</v>
      </c>
    </row>
    <row r="48" spans="1:3" ht="16.5" thickBot="1">
      <c r="A48" s="45">
        <v>47</v>
      </c>
      <c r="B48" s="48" t="s">
        <v>252</v>
      </c>
      <c r="C48" s="48" t="s">
        <v>253</v>
      </c>
    </row>
    <row r="49" spans="1:3" ht="16.5" thickBot="1">
      <c r="A49" s="45">
        <v>48</v>
      </c>
      <c r="B49" s="48" t="s">
        <v>254</v>
      </c>
      <c r="C49" s="48" t="s">
        <v>255</v>
      </c>
    </row>
    <row r="50" spans="1:3" ht="16.5" thickBot="1">
      <c r="A50" s="45">
        <v>49</v>
      </c>
      <c r="B50" s="48" t="s">
        <v>256</v>
      </c>
      <c r="C50" s="48" t="s">
        <v>257</v>
      </c>
    </row>
    <row r="51" spans="1:3" ht="16.5" thickBot="1">
      <c r="A51" s="45">
        <v>50</v>
      </c>
      <c r="B51" s="48" t="s">
        <v>258</v>
      </c>
      <c r="C51" s="48" t="s">
        <v>259</v>
      </c>
    </row>
    <row r="52" spans="1:3" ht="16.5" thickBot="1">
      <c r="A52" s="45">
        <v>51</v>
      </c>
      <c r="B52" s="48" t="s">
        <v>260</v>
      </c>
      <c r="C52" s="48" t="s">
        <v>261</v>
      </c>
    </row>
    <row r="53" spans="1:3" ht="16.5" thickBot="1">
      <c r="A53" s="45">
        <v>52</v>
      </c>
      <c r="B53" s="48" t="s">
        <v>262</v>
      </c>
      <c r="C53" s="48" t="s">
        <v>263</v>
      </c>
    </row>
    <row r="54" spans="1:3" ht="16.5" thickBot="1">
      <c r="A54" s="45">
        <v>53</v>
      </c>
      <c r="B54" s="48" t="s">
        <v>264</v>
      </c>
      <c r="C54" s="48" t="s">
        <v>265</v>
      </c>
    </row>
    <row r="55" spans="1:3" ht="16.5" thickBot="1">
      <c r="A55" s="45">
        <v>54</v>
      </c>
      <c r="B55" s="48" t="s">
        <v>266</v>
      </c>
      <c r="C55" s="48" t="s">
        <v>267</v>
      </c>
    </row>
    <row r="56" spans="1:3" ht="16.5" thickBot="1">
      <c r="A56" s="45">
        <v>56</v>
      </c>
      <c r="B56" s="48" t="s">
        <v>268</v>
      </c>
      <c r="C56" s="49" t="s">
        <v>269</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D94"/>
  <sheetViews>
    <sheetView showGridLines="0" workbookViewId="0">
      <pane xSplit="1" ySplit="1" topLeftCell="B2" activePane="bottomRight" state="frozen"/>
      <selection pane="topRight" activeCell="B1" sqref="B1"/>
      <selection pane="bottomLeft" activeCell="A2" sqref="A2"/>
      <selection pane="bottomRight" activeCell="A2" sqref="A2:A9"/>
    </sheetView>
  </sheetViews>
  <sheetFormatPr defaultRowHeight="15"/>
  <cols>
    <col min="1" max="1" width="39" style="8" customWidth="1"/>
    <col min="2" max="2" width="26.7109375" style="15" customWidth="1"/>
    <col min="3" max="3" width="68.7109375" style="20" bestFit="1" customWidth="1"/>
    <col min="4" max="4" width="49.5703125" style="26" customWidth="1"/>
  </cols>
  <sheetData>
    <row r="1" spans="1:4">
      <c r="A1" s="7" t="s">
        <v>10</v>
      </c>
      <c r="B1" s="1" t="s">
        <v>122</v>
      </c>
      <c r="C1" s="19" t="s">
        <v>9</v>
      </c>
      <c r="D1" s="21" t="s">
        <v>10</v>
      </c>
    </row>
    <row r="2" spans="1:4">
      <c r="A2" s="155" t="s">
        <v>0</v>
      </c>
      <c r="B2" s="10" t="s">
        <v>123</v>
      </c>
      <c r="C2" s="6" t="s">
        <v>30</v>
      </c>
      <c r="D2" s="17" t="s">
        <v>0</v>
      </c>
    </row>
    <row r="3" spans="1:4">
      <c r="A3" s="156"/>
      <c r="B3" s="10" t="s">
        <v>123</v>
      </c>
      <c r="C3" s="6" t="s">
        <v>31</v>
      </c>
      <c r="D3" s="17" t="s">
        <v>0</v>
      </c>
    </row>
    <row r="4" spans="1:4">
      <c r="A4" s="156"/>
      <c r="B4" s="10" t="s">
        <v>123</v>
      </c>
      <c r="C4" s="6" t="s">
        <v>32</v>
      </c>
      <c r="D4" s="17" t="s">
        <v>0</v>
      </c>
    </row>
    <row r="5" spans="1:4">
      <c r="A5" s="156"/>
      <c r="B5" s="10" t="s">
        <v>123</v>
      </c>
      <c r="C5" s="6" t="s">
        <v>33</v>
      </c>
      <c r="D5" s="17" t="s">
        <v>0</v>
      </c>
    </row>
    <row r="6" spans="1:4">
      <c r="A6" s="156"/>
      <c r="B6" s="10" t="s">
        <v>123</v>
      </c>
      <c r="C6" s="6" t="s">
        <v>34</v>
      </c>
      <c r="D6" s="17" t="s">
        <v>0</v>
      </c>
    </row>
    <row r="7" spans="1:4">
      <c r="A7" s="156"/>
      <c r="B7" s="54" t="s">
        <v>123</v>
      </c>
      <c r="C7" s="29" t="s">
        <v>303</v>
      </c>
      <c r="D7" s="17"/>
    </row>
    <row r="8" spans="1:4">
      <c r="A8" s="156"/>
      <c r="B8" s="54" t="s">
        <v>123</v>
      </c>
      <c r="C8" s="29" t="s">
        <v>304</v>
      </c>
      <c r="D8" s="17"/>
    </row>
    <row r="9" spans="1:4" ht="25.5">
      <c r="A9" s="156"/>
      <c r="B9" s="10" t="s">
        <v>124</v>
      </c>
      <c r="C9" s="6" t="s">
        <v>35</v>
      </c>
      <c r="D9" s="17" t="s">
        <v>0</v>
      </c>
    </row>
    <row r="10" spans="1:4">
      <c r="A10" s="162" t="s">
        <v>1</v>
      </c>
      <c r="B10" s="10" t="s">
        <v>123</v>
      </c>
      <c r="C10" s="27" t="s">
        <v>36</v>
      </c>
      <c r="D10" s="22" t="s">
        <v>1</v>
      </c>
    </row>
    <row r="11" spans="1:4">
      <c r="A11" s="164"/>
      <c r="B11" s="10" t="s">
        <v>123</v>
      </c>
      <c r="C11" s="27" t="s">
        <v>37</v>
      </c>
      <c r="D11" s="22" t="s">
        <v>1</v>
      </c>
    </row>
    <row r="12" spans="1:4">
      <c r="A12" s="155" t="s">
        <v>18</v>
      </c>
      <c r="B12" s="10" t="s">
        <v>123</v>
      </c>
      <c r="C12" s="4" t="s">
        <v>273</v>
      </c>
      <c r="D12" s="17" t="s">
        <v>18</v>
      </c>
    </row>
    <row r="13" spans="1:4" ht="25.5">
      <c r="A13" s="156"/>
      <c r="B13" s="10" t="s">
        <v>123</v>
      </c>
      <c r="C13" s="4" t="s">
        <v>274</v>
      </c>
      <c r="D13" s="17"/>
    </row>
    <row r="14" spans="1:4">
      <c r="A14" s="156"/>
      <c r="B14" s="10" t="s">
        <v>124</v>
      </c>
      <c r="C14" s="4" t="s">
        <v>272</v>
      </c>
      <c r="D14" s="17"/>
    </row>
    <row r="15" spans="1:4" ht="25.5">
      <c r="A15" s="157"/>
      <c r="B15" s="10" t="s">
        <v>124</v>
      </c>
      <c r="C15" s="6" t="s">
        <v>38</v>
      </c>
      <c r="D15" s="17" t="s">
        <v>18</v>
      </c>
    </row>
    <row r="16" spans="1:4" ht="25.5">
      <c r="A16" s="155" t="s">
        <v>2</v>
      </c>
      <c r="B16" s="10" t="s">
        <v>123</v>
      </c>
      <c r="C16" s="6" t="s">
        <v>39</v>
      </c>
      <c r="D16" s="17" t="s">
        <v>2</v>
      </c>
    </row>
    <row r="17" spans="1:4" ht="25.5">
      <c r="A17" s="156"/>
      <c r="B17" s="10" t="s">
        <v>123</v>
      </c>
      <c r="C17" s="6" t="s">
        <v>40</v>
      </c>
      <c r="D17" s="17" t="s">
        <v>2</v>
      </c>
    </row>
    <row r="18" spans="1:4" ht="25.5">
      <c r="A18" s="157"/>
      <c r="B18" s="10" t="s">
        <v>124</v>
      </c>
      <c r="C18" s="28" t="s">
        <v>41</v>
      </c>
      <c r="D18" s="17" t="s">
        <v>2</v>
      </c>
    </row>
    <row r="19" spans="1:4" ht="38.25">
      <c r="A19" s="155" t="s">
        <v>3</v>
      </c>
      <c r="B19" s="10" t="s">
        <v>123</v>
      </c>
      <c r="C19" s="6" t="s">
        <v>42</v>
      </c>
      <c r="D19" s="17" t="s">
        <v>3</v>
      </c>
    </row>
    <row r="20" spans="1:4" ht="25.5">
      <c r="A20" s="156"/>
      <c r="B20" s="10" t="s">
        <v>123</v>
      </c>
      <c r="C20" s="6" t="s">
        <v>46</v>
      </c>
      <c r="D20" s="17" t="s">
        <v>3</v>
      </c>
    </row>
    <row r="21" spans="1:4" ht="38.25">
      <c r="A21" s="157"/>
      <c r="B21" s="10" t="s">
        <v>124</v>
      </c>
      <c r="C21" s="6" t="s">
        <v>28</v>
      </c>
      <c r="D21" s="17" t="s">
        <v>3</v>
      </c>
    </row>
    <row r="22" spans="1:4" ht="25.5">
      <c r="A22" s="155" t="s">
        <v>48</v>
      </c>
      <c r="B22" s="10" t="s">
        <v>123</v>
      </c>
      <c r="C22" s="6" t="s">
        <v>45</v>
      </c>
      <c r="D22" s="17" t="s">
        <v>48</v>
      </c>
    </row>
    <row r="23" spans="1:4" ht="25.5">
      <c r="A23" s="156"/>
      <c r="B23" s="10" t="s">
        <v>123</v>
      </c>
      <c r="C23" s="6" t="s">
        <v>44</v>
      </c>
      <c r="D23" s="17" t="s">
        <v>48</v>
      </c>
    </row>
    <row r="24" spans="1:4" ht="25.5">
      <c r="A24" s="156"/>
      <c r="B24" s="10" t="s">
        <v>123</v>
      </c>
      <c r="C24" s="6" t="s">
        <v>47</v>
      </c>
      <c r="D24" s="17" t="s">
        <v>48</v>
      </c>
    </row>
    <row r="25" spans="1:4" ht="25.5">
      <c r="A25" s="156"/>
      <c r="B25" s="10" t="s">
        <v>123</v>
      </c>
      <c r="C25" s="6" t="s">
        <v>43</v>
      </c>
      <c r="D25" s="17" t="s">
        <v>48</v>
      </c>
    </row>
    <row r="26" spans="1:4" ht="25.5">
      <c r="A26" s="157"/>
      <c r="B26" s="10" t="s">
        <v>124</v>
      </c>
      <c r="C26" s="6" t="s">
        <v>125</v>
      </c>
      <c r="D26" s="17" t="s">
        <v>48</v>
      </c>
    </row>
    <row r="27" spans="1:4" ht="25.5">
      <c r="A27" s="156" t="s">
        <v>4</v>
      </c>
      <c r="B27" s="10" t="s">
        <v>124</v>
      </c>
      <c r="C27" s="6" t="s">
        <v>49</v>
      </c>
      <c r="D27" s="18" t="s">
        <v>4</v>
      </c>
    </row>
    <row r="28" spans="1:4">
      <c r="A28" s="156"/>
      <c r="B28" s="10" t="s">
        <v>123</v>
      </c>
      <c r="C28" s="6" t="s">
        <v>50</v>
      </c>
      <c r="D28" s="18" t="s">
        <v>4</v>
      </c>
    </row>
    <row r="29" spans="1:4">
      <c r="A29" s="156"/>
      <c r="B29" s="10" t="s">
        <v>123</v>
      </c>
      <c r="C29" s="6" t="s">
        <v>51</v>
      </c>
      <c r="D29" s="18" t="s">
        <v>4</v>
      </c>
    </row>
    <row r="30" spans="1:4" ht="25.5">
      <c r="A30" s="156"/>
      <c r="B30" s="10" t="s">
        <v>123</v>
      </c>
      <c r="C30" s="6" t="s">
        <v>52</v>
      </c>
      <c r="D30" s="18" t="s">
        <v>4</v>
      </c>
    </row>
    <row r="31" spans="1:4">
      <c r="A31" s="157"/>
      <c r="B31" s="10" t="s">
        <v>123</v>
      </c>
      <c r="C31" s="6" t="s">
        <v>53</v>
      </c>
      <c r="D31" s="18" t="s">
        <v>4</v>
      </c>
    </row>
    <row r="32" spans="1:4" ht="25.5">
      <c r="A32" s="155" t="s">
        <v>5</v>
      </c>
      <c r="B32" s="10" t="s">
        <v>124</v>
      </c>
      <c r="C32" s="6" t="s">
        <v>6</v>
      </c>
      <c r="D32" s="17" t="s">
        <v>5</v>
      </c>
    </row>
    <row r="33" spans="1:4" ht="25.5">
      <c r="A33" s="156"/>
      <c r="B33" s="10" t="s">
        <v>123</v>
      </c>
      <c r="C33" s="6" t="s">
        <v>7</v>
      </c>
      <c r="D33" s="17" t="s">
        <v>5</v>
      </c>
    </row>
    <row r="34" spans="1:4" ht="25.5">
      <c r="A34" s="156"/>
      <c r="B34" s="10" t="s">
        <v>123</v>
      </c>
      <c r="C34" s="6" t="s">
        <v>54</v>
      </c>
      <c r="D34" s="17" t="s">
        <v>5</v>
      </c>
    </row>
    <row r="35" spans="1:4" ht="25.5">
      <c r="A35" s="157"/>
      <c r="B35" s="10" t="s">
        <v>123</v>
      </c>
      <c r="C35" s="6" t="s">
        <v>17</v>
      </c>
      <c r="D35" s="17" t="s">
        <v>5</v>
      </c>
    </row>
    <row r="36" spans="1:4" ht="25.5">
      <c r="A36" s="158" t="s">
        <v>8</v>
      </c>
      <c r="B36" s="10" t="s">
        <v>123</v>
      </c>
      <c r="C36" s="29" t="s">
        <v>126</v>
      </c>
      <c r="D36" s="23" t="s">
        <v>8</v>
      </c>
    </row>
    <row r="37" spans="1:4" ht="25.5">
      <c r="A37" s="159"/>
      <c r="B37" s="10" t="s">
        <v>123</v>
      </c>
      <c r="C37" s="6" t="s">
        <v>55</v>
      </c>
      <c r="D37" s="23" t="s">
        <v>8</v>
      </c>
    </row>
    <row r="38" spans="1:4" ht="25.5">
      <c r="A38" s="159"/>
      <c r="B38" s="10" t="s">
        <v>123</v>
      </c>
      <c r="C38" s="6" t="s">
        <v>56</v>
      </c>
      <c r="D38" s="23" t="s">
        <v>8</v>
      </c>
    </row>
    <row r="39" spans="1:4">
      <c r="A39" s="155" t="s">
        <v>19</v>
      </c>
      <c r="B39" s="10" t="s">
        <v>123</v>
      </c>
      <c r="C39" s="6" t="s">
        <v>57</v>
      </c>
      <c r="D39" s="17" t="s">
        <v>19</v>
      </c>
    </row>
    <row r="40" spans="1:4">
      <c r="A40" s="156"/>
      <c r="B40" s="10" t="s">
        <v>123</v>
      </c>
      <c r="C40" s="6" t="s">
        <v>58</v>
      </c>
      <c r="D40" s="17" t="s">
        <v>19</v>
      </c>
    </row>
    <row r="41" spans="1:4" ht="38.25">
      <c r="A41" s="157"/>
      <c r="B41" s="10" t="s">
        <v>124</v>
      </c>
      <c r="C41" s="6" t="s">
        <v>29</v>
      </c>
      <c r="D41" s="17" t="s">
        <v>19</v>
      </c>
    </row>
    <row r="42" spans="1:4">
      <c r="A42" s="160" t="s">
        <v>20</v>
      </c>
      <c r="B42" s="10" t="s">
        <v>123</v>
      </c>
      <c r="C42" s="4" t="s">
        <v>59</v>
      </c>
      <c r="D42" s="24" t="s">
        <v>20</v>
      </c>
    </row>
    <row r="43" spans="1:4">
      <c r="A43" s="159"/>
      <c r="B43" s="11" t="s">
        <v>123</v>
      </c>
      <c r="C43" s="30" t="s">
        <v>60</v>
      </c>
      <c r="D43" s="24" t="s">
        <v>20</v>
      </c>
    </row>
    <row r="44" spans="1:4">
      <c r="A44" s="159"/>
      <c r="B44" s="11" t="s">
        <v>123</v>
      </c>
      <c r="C44" s="30" t="s">
        <v>61</v>
      </c>
      <c r="D44" s="24" t="s">
        <v>20</v>
      </c>
    </row>
    <row r="45" spans="1:4">
      <c r="A45" s="159"/>
      <c r="B45" s="11" t="s">
        <v>123</v>
      </c>
      <c r="C45" s="30" t="s">
        <v>62</v>
      </c>
      <c r="D45" s="24" t="s">
        <v>20</v>
      </c>
    </row>
    <row r="46" spans="1:4">
      <c r="A46" s="159"/>
      <c r="B46" s="11" t="s">
        <v>123</v>
      </c>
      <c r="C46" s="30" t="s">
        <v>63</v>
      </c>
      <c r="D46" s="24" t="s">
        <v>20</v>
      </c>
    </row>
    <row r="47" spans="1:4">
      <c r="A47" s="159"/>
      <c r="B47" s="11" t="s">
        <v>123</v>
      </c>
      <c r="C47" s="30" t="s">
        <v>64</v>
      </c>
      <c r="D47" s="24" t="s">
        <v>20</v>
      </c>
    </row>
    <row r="48" spans="1:4" ht="25.5">
      <c r="A48" s="161" t="s">
        <v>21</v>
      </c>
      <c r="B48" s="10" t="s">
        <v>123</v>
      </c>
      <c r="C48" s="27" t="s">
        <v>66</v>
      </c>
      <c r="D48" s="25" t="s">
        <v>21</v>
      </c>
    </row>
    <row r="49" spans="1:4" ht="25.5">
      <c r="A49" s="159"/>
      <c r="B49" s="10" t="s">
        <v>123</v>
      </c>
      <c r="C49" s="27" t="s">
        <v>65</v>
      </c>
      <c r="D49" s="25" t="s">
        <v>21</v>
      </c>
    </row>
    <row r="50" spans="1:4" ht="25.5">
      <c r="A50" s="159"/>
      <c r="B50" s="10" t="s">
        <v>123</v>
      </c>
      <c r="C50" s="27" t="s">
        <v>72</v>
      </c>
      <c r="D50" s="25" t="s">
        <v>21</v>
      </c>
    </row>
    <row r="51" spans="1:4" ht="25.5">
      <c r="A51" s="159"/>
      <c r="B51" s="10" t="s">
        <v>123</v>
      </c>
      <c r="C51" s="27" t="s">
        <v>73</v>
      </c>
      <c r="D51" s="25" t="s">
        <v>21</v>
      </c>
    </row>
    <row r="52" spans="1:4" ht="25.5">
      <c r="A52" s="159"/>
      <c r="B52" s="10" t="s">
        <v>123</v>
      </c>
      <c r="C52" s="27" t="s">
        <v>67</v>
      </c>
      <c r="D52" s="25" t="s">
        <v>21</v>
      </c>
    </row>
    <row r="53" spans="1:4" ht="25.5">
      <c r="A53" s="159"/>
      <c r="B53" s="10" t="s">
        <v>123</v>
      </c>
      <c r="C53" s="27" t="s">
        <v>68</v>
      </c>
      <c r="D53" s="25" t="s">
        <v>21</v>
      </c>
    </row>
    <row r="54" spans="1:4" ht="25.5">
      <c r="A54" s="159"/>
      <c r="B54" s="10" t="s">
        <v>123</v>
      </c>
      <c r="C54" s="27" t="s">
        <v>69</v>
      </c>
      <c r="D54" s="25" t="s">
        <v>21</v>
      </c>
    </row>
    <row r="55" spans="1:4" ht="25.5">
      <c r="A55" s="159"/>
      <c r="B55" s="10" t="s">
        <v>123</v>
      </c>
      <c r="C55" s="31" t="s">
        <v>70</v>
      </c>
      <c r="D55" s="25" t="s">
        <v>21</v>
      </c>
    </row>
    <row r="56" spans="1:4" ht="25.5">
      <c r="A56" s="159"/>
      <c r="B56" s="10" t="s">
        <v>123</v>
      </c>
      <c r="C56" s="27" t="s">
        <v>71</v>
      </c>
      <c r="D56" s="25" t="s">
        <v>21</v>
      </c>
    </row>
    <row r="57" spans="1:4" ht="25.5">
      <c r="A57" s="158" t="s">
        <v>22</v>
      </c>
      <c r="B57" s="10" t="s">
        <v>123</v>
      </c>
      <c r="C57" s="6" t="s">
        <v>74</v>
      </c>
      <c r="D57" s="23" t="s">
        <v>22</v>
      </c>
    </row>
    <row r="58" spans="1:4">
      <c r="A58" s="159"/>
      <c r="B58" s="10" t="s">
        <v>123</v>
      </c>
      <c r="C58" s="6" t="s">
        <v>75</v>
      </c>
      <c r="D58" s="23" t="s">
        <v>22</v>
      </c>
    </row>
    <row r="59" spans="1:4">
      <c r="A59" s="158" t="s">
        <v>23</v>
      </c>
      <c r="B59" s="10" t="s">
        <v>123</v>
      </c>
      <c r="C59" s="6" t="s">
        <v>76</v>
      </c>
      <c r="D59" s="23" t="s">
        <v>23</v>
      </c>
    </row>
    <row r="60" spans="1:4">
      <c r="A60" s="159"/>
      <c r="B60" s="10" t="s">
        <v>123</v>
      </c>
      <c r="C60" s="6" t="s">
        <v>77</v>
      </c>
      <c r="D60" s="23" t="s">
        <v>23</v>
      </c>
    </row>
    <row r="61" spans="1:4">
      <c r="A61" s="159"/>
      <c r="B61" s="10" t="s">
        <v>123</v>
      </c>
      <c r="C61" s="6" t="s">
        <v>78</v>
      </c>
      <c r="D61" s="23" t="s">
        <v>23</v>
      </c>
    </row>
    <row r="62" spans="1:4">
      <c r="A62" s="159"/>
      <c r="B62" s="12" t="s">
        <v>123</v>
      </c>
      <c r="C62" s="29" t="s">
        <v>311</v>
      </c>
      <c r="D62" s="23" t="s">
        <v>23</v>
      </c>
    </row>
    <row r="63" spans="1:4">
      <c r="A63" s="159"/>
      <c r="B63" s="12" t="s">
        <v>123</v>
      </c>
      <c r="C63" s="29" t="s">
        <v>307</v>
      </c>
      <c r="D63" s="23" t="s">
        <v>23</v>
      </c>
    </row>
    <row r="64" spans="1:4">
      <c r="A64" s="159"/>
      <c r="B64" s="12" t="s">
        <v>123</v>
      </c>
      <c r="C64" s="29" t="s">
        <v>308</v>
      </c>
      <c r="D64" s="23" t="s">
        <v>23</v>
      </c>
    </row>
    <row r="65" spans="1:4">
      <c r="A65" s="159"/>
      <c r="B65" s="12" t="s">
        <v>123</v>
      </c>
      <c r="C65" s="29" t="s">
        <v>309</v>
      </c>
      <c r="D65" s="23" t="s">
        <v>23</v>
      </c>
    </row>
    <row r="66" spans="1:4">
      <c r="A66" s="159"/>
      <c r="B66" s="12" t="s">
        <v>123</v>
      </c>
      <c r="C66" s="29" t="s">
        <v>310</v>
      </c>
      <c r="D66" s="23" t="s">
        <v>23</v>
      </c>
    </row>
    <row r="67" spans="1:4" ht="25.5">
      <c r="A67" s="159"/>
      <c r="B67" s="12" t="s">
        <v>124</v>
      </c>
      <c r="C67" s="6" t="s">
        <v>143</v>
      </c>
      <c r="D67" s="23" t="s">
        <v>23</v>
      </c>
    </row>
    <row r="68" spans="1:4" ht="15" customHeight="1">
      <c r="A68" s="162" t="s">
        <v>24</v>
      </c>
      <c r="B68" s="10" t="s">
        <v>123</v>
      </c>
      <c r="C68" s="27" t="s">
        <v>100</v>
      </c>
      <c r="D68" s="25" t="s">
        <v>24</v>
      </c>
    </row>
    <row r="69" spans="1:4">
      <c r="A69" s="163"/>
      <c r="B69" s="13" t="s">
        <v>123</v>
      </c>
      <c r="C69" s="27" t="s">
        <v>89</v>
      </c>
      <c r="D69" s="25" t="s">
        <v>24</v>
      </c>
    </row>
    <row r="70" spans="1:4">
      <c r="A70" s="163"/>
      <c r="B70" s="10" t="s">
        <v>123</v>
      </c>
      <c r="C70" s="27" t="s">
        <v>90</v>
      </c>
      <c r="D70" s="25" t="s">
        <v>24</v>
      </c>
    </row>
    <row r="71" spans="1:4">
      <c r="A71" s="163"/>
      <c r="B71" s="13" t="s">
        <v>123</v>
      </c>
      <c r="C71" s="27" t="s">
        <v>91</v>
      </c>
      <c r="D71" s="25" t="s">
        <v>24</v>
      </c>
    </row>
    <row r="72" spans="1:4">
      <c r="A72" s="163"/>
      <c r="B72" s="10" t="s">
        <v>123</v>
      </c>
      <c r="C72" s="27" t="s">
        <v>92</v>
      </c>
      <c r="D72" s="25" t="s">
        <v>24</v>
      </c>
    </row>
    <row r="73" spans="1:4">
      <c r="A73" s="163"/>
      <c r="B73" s="10" t="s">
        <v>123</v>
      </c>
      <c r="C73" s="27" t="s">
        <v>93</v>
      </c>
      <c r="D73" s="25" t="s">
        <v>24</v>
      </c>
    </row>
    <row r="74" spans="1:4">
      <c r="A74" s="163"/>
      <c r="B74" s="10" t="s">
        <v>123</v>
      </c>
      <c r="C74" s="27" t="s">
        <v>94</v>
      </c>
      <c r="D74" s="25" t="s">
        <v>24</v>
      </c>
    </row>
    <row r="75" spans="1:4">
      <c r="A75" s="163"/>
      <c r="B75" s="10" t="s">
        <v>123</v>
      </c>
      <c r="C75" s="27" t="s">
        <v>95</v>
      </c>
      <c r="D75" s="25" t="s">
        <v>24</v>
      </c>
    </row>
    <row r="76" spans="1:4">
      <c r="A76" s="163"/>
      <c r="B76" s="10" t="s">
        <v>123</v>
      </c>
      <c r="C76" s="27" t="s">
        <v>80</v>
      </c>
      <c r="D76" s="25" t="s">
        <v>24</v>
      </c>
    </row>
    <row r="77" spans="1:4">
      <c r="A77" s="164"/>
      <c r="B77" s="10" t="s">
        <v>124</v>
      </c>
      <c r="C77" s="32" t="s">
        <v>79</v>
      </c>
      <c r="D77" s="25" t="s">
        <v>24</v>
      </c>
    </row>
    <row r="78" spans="1:4" s="2" customFormat="1" ht="12.75">
      <c r="A78" s="152" t="s">
        <v>25</v>
      </c>
      <c r="B78" s="14" t="s">
        <v>124</v>
      </c>
      <c r="C78" s="33" t="s">
        <v>81</v>
      </c>
      <c r="D78" s="16" t="s">
        <v>25</v>
      </c>
    </row>
    <row r="79" spans="1:4" s="2" customFormat="1" ht="12.75">
      <c r="A79" s="153"/>
      <c r="B79" s="14" t="s">
        <v>124</v>
      </c>
      <c r="C79" s="33" t="s">
        <v>96</v>
      </c>
      <c r="D79" s="16" t="s">
        <v>25</v>
      </c>
    </row>
    <row r="80" spans="1:4" s="2" customFormat="1" ht="12.75">
      <c r="A80" s="153"/>
      <c r="B80" s="14" t="s">
        <v>124</v>
      </c>
      <c r="C80" s="34" t="s">
        <v>97</v>
      </c>
      <c r="D80" s="16" t="s">
        <v>25</v>
      </c>
    </row>
    <row r="81" spans="1:4">
      <c r="A81" s="153"/>
      <c r="B81" s="14" t="s">
        <v>124</v>
      </c>
      <c r="C81" s="6" t="s">
        <v>82</v>
      </c>
      <c r="D81" s="16" t="s">
        <v>25</v>
      </c>
    </row>
    <row r="82" spans="1:4">
      <c r="A82" s="153"/>
      <c r="B82" s="14" t="s">
        <v>124</v>
      </c>
      <c r="C82" s="6" t="s">
        <v>87</v>
      </c>
      <c r="D82" s="16" t="s">
        <v>25</v>
      </c>
    </row>
    <row r="83" spans="1:4">
      <c r="A83" s="153"/>
      <c r="B83" s="14" t="s">
        <v>124</v>
      </c>
      <c r="C83" s="6" t="s">
        <v>14</v>
      </c>
      <c r="D83" s="16" t="s">
        <v>25</v>
      </c>
    </row>
    <row r="84" spans="1:4">
      <c r="A84" s="153"/>
      <c r="B84" s="14" t="s">
        <v>124</v>
      </c>
      <c r="C84" s="6" t="s">
        <v>15</v>
      </c>
      <c r="D84" s="16" t="s">
        <v>25</v>
      </c>
    </row>
    <row r="85" spans="1:4">
      <c r="A85" s="153"/>
      <c r="B85" s="14" t="s">
        <v>124</v>
      </c>
      <c r="C85" s="6" t="s">
        <v>16</v>
      </c>
      <c r="D85" s="16" t="s">
        <v>25</v>
      </c>
    </row>
    <row r="86" spans="1:4" ht="14.25" customHeight="1">
      <c r="A86" s="153"/>
      <c r="B86" s="14" t="s">
        <v>123</v>
      </c>
      <c r="C86" s="6" t="s">
        <v>83</v>
      </c>
      <c r="D86" s="16" t="s">
        <v>25</v>
      </c>
    </row>
    <row r="87" spans="1:4">
      <c r="A87" s="153"/>
      <c r="B87" s="14" t="s">
        <v>123</v>
      </c>
      <c r="C87" s="6" t="s">
        <v>84</v>
      </c>
      <c r="D87" s="16" t="s">
        <v>25</v>
      </c>
    </row>
    <row r="88" spans="1:4">
      <c r="A88" s="153"/>
      <c r="B88" s="14" t="s">
        <v>123</v>
      </c>
      <c r="C88" s="6" t="s">
        <v>86</v>
      </c>
      <c r="D88" s="16" t="s">
        <v>25</v>
      </c>
    </row>
    <row r="89" spans="1:4">
      <c r="A89" s="153"/>
      <c r="B89" s="14" t="s">
        <v>123</v>
      </c>
      <c r="C89" s="6" t="s">
        <v>85</v>
      </c>
      <c r="D89" s="16" t="s">
        <v>25</v>
      </c>
    </row>
    <row r="90" spans="1:4">
      <c r="A90" s="153"/>
      <c r="B90" s="14" t="s">
        <v>123</v>
      </c>
      <c r="C90" s="6" t="s">
        <v>11</v>
      </c>
      <c r="D90" s="16" t="s">
        <v>25</v>
      </c>
    </row>
    <row r="91" spans="1:4">
      <c r="A91" s="153"/>
      <c r="B91" s="14" t="s">
        <v>123</v>
      </c>
      <c r="C91" s="6" t="s">
        <v>88</v>
      </c>
      <c r="D91" s="16" t="s">
        <v>25</v>
      </c>
    </row>
    <row r="92" spans="1:4">
      <c r="A92" s="153"/>
      <c r="B92" s="14" t="s">
        <v>123</v>
      </c>
      <c r="C92" s="6" t="s">
        <v>12</v>
      </c>
      <c r="D92" s="16" t="s">
        <v>25</v>
      </c>
    </row>
    <row r="93" spans="1:4">
      <c r="A93" s="154"/>
      <c r="B93" s="14" t="s">
        <v>123</v>
      </c>
      <c r="C93" s="6" t="s">
        <v>13</v>
      </c>
      <c r="D93" s="16" t="s">
        <v>25</v>
      </c>
    </row>
    <row r="94" spans="1:4">
      <c r="A94" s="3" t="s">
        <v>26</v>
      </c>
      <c r="B94" s="5" t="s">
        <v>123</v>
      </c>
      <c r="C94" s="6" t="s">
        <v>27</v>
      </c>
      <c r="D94" s="3" t="s">
        <v>26</v>
      </c>
    </row>
  </sheetData>
  <mergeCells count="16">
    <mergeCell ref="A16:A18"/>
    <mergeCell ref="A2:A9"/>
    <mergeCell ref="A12:A15"/>
    <mergeCell ref="A27:A31"/>
    <mergeCell ref="A10:A11"/>
    <mergeCell ref="A19:A21"/>
    <mergeCell ref="A22:A26"/>
    <mergeCell ref="A78:A93"/>
    <mergeCell ref="A32:A35"/>
    <mergeCell ref="A36:A38"/>
    <mergeCell ref="A42:A47"/>
    <mergeCell ref="A48:A56"/>
    <mergeCell ref="A68:A77"/>
    <mergeCell ref="A39:A41"/>
    <mergeCell ref="A57:A58"/>
    <mergeCell ref="A59:A6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33</vt:i4>
      </vt:variant>
    </vt:vector>
  </HeadingPairs>
  <TitlesOfParts>
    <vt:vector size="42" baseType="lpstr">
      <vt:lpstr>Week Wise Variance</vt:lpstr>
      <vt:lpstr>Audit Form</vt:lpstr>
      <vt:lpstr>Dump</vt:lpstr>
      <vt:lpstr>Sheet2</vt:lpstr>
      <vt:lpstr>Guidelines New</vt:lpstr>
      <vt:lpstr>Issue type dropdowns</vt:lpstr>
      <vt:lpstr>ZT &amp; BTL data</vt:lpstr>
      <vt:lpstr>TOV</vt:lpstr>
      <vt:lpstr>Scoring Form old</vt:lpstr>
      <vt:lpstr>Expert1</vt:lpstr>
      <vt:lpstr>Expert2</vt:lpstr>
      <vt:lpstr>Expert3</vt:lpstr>
      <vt:lpstr>INTER1</vt:lpstr>
      <vt:lpstr>INTER10</vt:lpstr>
      <vt:lpstr>INTER14</vt:lpstr>
      <vt:lpstr>INTER15</vt:lpstr>
      <vt:lpstr>INTER16</vt:lpstr>
      <vt:lpstr>INTER3</vt:lpstr>
      <vt:lpstr>INTER4</vt:lpstr>
      <vt:lpstr>INTER5</vt:lpstr>
      <vt:lpstr>INTER6</vt:lpstr>
      <vt:lpstr>INTER7</vt:lpstr>
      <vt:lpstr>INTER8</vt:lpstr>
      <vt:lpstr>Novice1</vt:lpstr>
      <vt:lpstr>NOVICE10</vt:lpstr>
      <vt:lpstr>NOVICE11</vt:lpstr>
      <vt:lpstr>NOVICE12</vt:lpstr>
      <vt:lpstr>NOVICE13</vt:lpstr>
      <vt:lpstr>NOVICE14</vt:lpstr>
      <vt:lpstr>NOVICE15</vt:lpstr>
      <vt:lpstr>NOVICE16</vt:lpstr>
      <vt:lpstr>NOVICE17</vt:lpstr>
      <vt:lpstr>NOVICE2</vt:lpstr>
      <vt:lpstr>NOVICE3</vt:lpstr>
      <vt:lpstr>NOVICE4</vt:lpstr>
      <vt:lpstr>NOVICE5</vt:lpstr>
      <vt:lpstr>Novice6</vt:lpstr>
      <vt:lpstr>NOVICE7</vt:lpstr>
      <vt:lpstr>NOVICE8</vt:lpstr>
      <vt:lpstr>NOVICE9</vt:lpstr>
      <vt:lpstr>Type</vt:lpstr>
      <vt:lpstr>ZTNO1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Bhagat</dc:creator>
  <cp:lastModifiedBy>Surendra</cp:lastModifiedBy>
  <dcterms:created xsi:type="dcterms:W3CDTF">2019-02-06T08:00:23Z</dcterms:created>
  <dcterms:modified xsi:type="dcterms:W3CDTF">2021-08-21T15:45:29Z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FKIPL\techmc.526782</vt:lpwstr>
  </property>
  <property fmtid="{D5CDD505-2E9C-101B-9397-08002B2CF9AE}" pid="4" name="DLPManualFileClassificationLastModificationDate">
    <vt:lpwstr>1569928290</vt:lpwstr>
  </property>
  <property fmtid="{D5CDD505-2E9C-101B-9397-08002B2CF9AE}" pid="5" name="DLPManualFileClassificationVersion">
    <vt:lpwstr>11.1.0.61</vt:lpwstr>
  </property>
</Properties>
</file>